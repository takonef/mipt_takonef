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0" windowWidth="21980" windowHeight="12050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calcChain.xml><?xml version="1.0" encoding="utf-8"?>
<calcChain xmlns="http://schemas.openxmlformats.org/spreadsheetml/2006/main">
  <c r="R3" i="1"/>
  <c r="S3" s="1"/>
  <c r="R4"/>
  <c r="S4" s="1"/>
  <c r="R5"/>
  <c r="S5" s="1"/>
  <c r="R6"/>
  <c r="S6" s="1"/>
  <c r="R2"/>
  <c r="S2" s="1"/>
  <c r="J2"/>
  <c r="P2" s="1"/>
  <c r="P4"/>
  <c r="P3"/>
  <c r="P5"/>
  <c r="P6"/>
  <c r="J3"/>
  <c r="K3"/>
  <c r="L3"/>
  <c r="M3"/>
  <c r="N3"/>
  <c r="J4"/>
  <c r="K4"/>
  <c r="L4"/>
  <c r="M4"/>
  <c r="N4"/>
  <c r="J5"/>
  <c r="K5"/>
  <c r="L5"/>
  <c r="M5"/>
  <c r="N5"/>
  <c r="J6"/>
  <c r="K6"/>
  <c r="L6"/>
  <c r="M6"/>
  <c r="N6"/>
  <c r="I6"/>
  <c r="I5"/>
  <c r="I4"/>
  <c r="I3"/>
  <c r="F3"/>
  <c r="F4"/>
  <c r="F5"/>
  <c r="F6"/>
  <c r="F2"/>
  <c r="I2"/>
  <c r="K2"/>
  <c r="L2"/>
  <c r="M2"/>
  <c r="N2"/>
</calcChain>
</file>

<file path=xl/sharedStrings.xml><?xml version="1.0" encoding="utf-8"?>
<sst xmlns="http://schemas.openxmlformats.org/spreadsheetml/2006/main" count="3" uniqueCount="3">
  <si>
    <t>bar</t>
  </si>
  <si>
    <t>Omega</t>
  </si>
  <si>
    <t xml:space="preserve">sigma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</si>
</sst>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>
      <selection activeCell="A2" sqref="A2:A6"/>
    </sheetView>
  </sheetViews>
  <sheetFormatPr defaultRowHeight="14.5"/>
  <sheetData>
    <row r="1" spans="1:19">
      <c r="F1" t="s">
        <v>0</v>
      </c>
      <c r="R1" t="s">
        <v>1</v>
      </c>
      <c r="S1" t="s">
        <v>2</v>
      </c>
    </row>
    <row r="2" spans="1:19">
      <c r="A2">
        <v>183.5</v>
      </c>
      <c r="B2">
        <v>184.2</v>
      </c>
      <c r="C2">
        <v>184.8</v>
      </c>
      <c r="D2">
        <v>181</v>
      </c>
      <c r="E2">
        <v>182.9</v>
      </c>
      <c r="F2">
        <f>SUM(A2:E2)/5</f>
        <v>183.28</v>
      </c>
      <c r="G2">
        <v>183.9</v>
      </c>
      <c r="I2">
        <f>(183.88-A2)*(183.88-A2)</f>
        <v>0.14439999999999653</v>
      </c>
      <c r="J2">
        <f>(183.88-B2)*(183.88-B2)</f>
        <v>0.10239999999999563</v>
      </c>
      <c r="K2">
        <f t="shared" ref="J2:N2" si="0">(183.88-C2)*(183.88-C2)</f>
        <v>0.84640000000002924</v>
      </c>
      <c r="L2">
        <f t="shared" si="0"/>
        <v>8.2943999999999747</v>
      </c>
      <c r="M2">
        <f t="shared" si="0"/>
        <v>0.96039999999997994</v>
      </c>
      <c r="N2">
        <f t="shared" si="0"/>
        <v>0.35999999999999316</v>
      </c>
      <c r="P2">
        <f>SQRT(SUM(I2:N2)/16+0.01)</f>
        <v>0.82416624536558036</v>
      </c>
      <c r="R2">
        <f>1000*2*3.1415926/F2</f>
        <v>34.281892186817984</v>
      </c>
      <c r="S2">
        <f xml:space="preserve"> 2*3.1415926*R2*P2/F2</f>
        <v>0.96859984024803292</v>
      </c>
    </row>
    <row r="3" spans="1:19">
      <c r="A3">
        <v>109.4</v>
      </c>
      <c r="B3">
        <v>110.3</v>
      </c>
      <c r="C3">
        <v>111</v>
      </c>
      <c r="D3">
        <v>110.5</v>
      </c>
      <c r="E3">
        <v>110.1</v>
      </c>
      <c r="F3">
        <f t="shared" ref="F3:F6" si="1">SUM(A3:E3)/5</f>
        <v>110.25999999999999</v>
      </c>
      <c r="G3">
        <v>110.26</v>
      </c>
      <c r="I3">
        <f>(110.26-A3)*(110.26-A3)</f>
        <v>0.73959999999999904</v>
      </c>
      <c r="J3">
        <f t="shared" ref="J3:N3" si="2">(110.26-B3)*(110.26-B3)</f>
        <v>1.5999999999993634E-3</v>
      </c>
      <c r="K3">
        <f t="shared" si="2"/>
        <v>0.54759999999999243</v>
      </c>
      <c r="L3">
        <f t="shared" si="2"/>
        <v>5.7599999999997542E-2</v>
      </c>
      <c r="M3">
        <f t="shared" si="2"/>
        <v>2.5600000000003457E-2</v>
      </c>
      <c r="N3">
        <f t="shared" si="2"/>
        <v>2.0194839173657902E-28</v>
      </c>
      <c r="P3">
        <f t="shared" ref="P3:P6" si="3">SQRT(SUM(I3:N3)/16+0.01)</f>
        <v>0.30943496893531519</v>
      </c>
      <c r="R3">
        <f t="shared" ref="R3:R6" si="4">1000*2*3.1415926/F3</f>
        <v>56.985173226918199</v>
      </c>
      <c r="S3">
        <f t="shared" ref="S3:S6" si="5" xml:space="preserve"> 2*3.1415926*R3*P3/F3</f>
        <v>1.004831258979169</v>
      </c>
    </row>
    <row r="4" spans="1:19">
      <c r="A4">
        <v>56.7</v>
      </c>
      <c r="B4">
        <v>56</v>
      </c>
      <c r="C4">
        <v>56.2</v>
      </c>
      <c r="D4">
        <v>56</v>
      </c>
      <c r="E4">
        <v>56.1</v>
      </c>
      <c r="F4">
        <f t="shared" si="1"/>
        <v>56.2</v>
      </c>
      <c r="G4">
        <v>56.2</v>
      </c>
      <c r="I4">
        <f>(56.2-A4)*(56.2-A4)</f>
        <v>0.25</v>
      </c>
      <c r="J4">
        <f t="shared" ref="J4:N4" si="6">(56.2-B4)*(56.2-B4)</f>
        <v>4.0000000000001139E-2</v>
      </c>
      <c r="K4">
        <f t="shared" si="6"/>
        <v>0</v>
      </c>
      <c r="L4">
        <f t="shared" si="6"/>
        <v>4.0000000000001139E-2</v>
      </c>
      <c r="M4">
        <f t="shared" si="6"/>
        <v>1.0000000000000285E-2</v>
      </c>
      <c r="N4">
        <f t="shared" si="6"/>
        <v>0</v>
      </c>
      <c r="P4">
        <f>SQRT(SUM(I4:N4)/16+0.01)</f>
        <v>0.17677669529663734</v>
      </c>
      <c r="R4">
        <f t="shared" si="4"/>
        <v>111.80044839857651</v>
      </c>
      <c r="S4">
        <f t="shared" si="5"/>
        <v>2.2095920649262677</v>
      </c>
    </row>
    <row r="5" spans="1:19">
      <c r="A5">
        <v>36.9</v>
      </c>
      <c r="B5">
        <v>36.799999999999997</v>
      </c>
      <c r="C5">
        <v>36.799999999999997</v>
      </c>
      <c r="D5">
        <v>37</v>
      </c>
      <c r="E5">
        <v>36.700000000000003</v>
      </c>
      <c r="F5">
        <f t="shared" si="1"/>
        <v>36.839999999999996</v>
      </c>
      <c r="G5">
        <v>36.799999999999997</v>
      </c>
      <c r="I5">
        <f>(36.8-A5)*(36.8-A5)</f>
        <v>1.0000000000000285E-2</v>
      </c>
      <c r="J5">
        <f t="shared" ref="J5:N5" si="7">(36.8-B5)*(36.8-B5)</f>
        <v>0</v>
      </c>
      <c r="K5">
        <f t="shared" si="7"/>
        <v>0</v>
      </c>
      <c r="L5">
        <f t="shared" si="7"/>
        <v>4.0000000000001139E-2</v>
      </c>
      <c r="M5">
        <f t="shared" si="7"/>
        <v>9.999999999998864E-3</v>
      </c>
      <c r="N5">
        <f t="shared" si="7"/>
        <v>1.5999999999999318E-3</v>
      </c>
      <c r="P5">
        <f t="shared" si="3"/>
        <v>0.11768602295939826</v>
      </c>
      <c r="R5">
        <f t="shared" si="4"/>
        <v>170.55334419109664</v>
      </c>
      <c r="S5">
        <f t="shared" si="5"/>
        <v>3.4233031960261844</v>
      </c>
    </row>
    <row r="6" spans="1:19">
      <c r="A6">
        <v>29.6</v>
      </c>
      <c r="B6">
        <v>29.1</v>
      </c>
      <c r="C6">
        <v>29.4</v>
      </c>
      <c r="D6">
        <v>29.5</v>
      </c>
      <c r="E6">
        <v>29.4</v>
      </c>
      <c r="F6">
        <f t="shared" si="1"/>
        <v>29.4</v>
      </c>
      <c r="G6">
        <v>29.4</v>
      </c>
      <c r="I6">
        <f>(29.4-A6)*(29.4-A6)</f>
        <v>4.0000000000001139E-2</v>
      </c>
      <c r="J6">
        <f t="shared" ref="J6:N6" si="8">(29.4-B6)*(29.4-B6)</f>
        <v>8.999999999999829E-2</v>
      </c>
      <c r="K6">
        <f t="shared" si="8"/>
        <v>0</v>
      </c>
      <c r="L6">
        <f t="shared" si="8"/>
        <v>1.0000000000000285E-2</v>
      </c>
      <c r="M6">
        <f t="shared" si="8"/>
        <v>0</v>
      </c>
      <c r="N6">
        <f t="shared" si="8"/>
        <v>0</v>
      </c>
      <c r="P6">
        <f t="shared" si="3"/>
        <v>0.13693063937629146</v>
      </c>
      <c r="R6">
        <f t="shared" si="4"/>
        <v>213.71378231292519</v>
      </c>
      <c r="S6">
        <f t="shared" si="5"/>
        <v>6.2541126147701469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2025-10-29T03:41:29Z</dcterms:created>
  <dcterms:modified xsi:type="dcterms:W3CDTF">2025-10-29T08:12:20Z</dcterms:modified>
</cp:coreProperties>
</file>