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22620" windowHeight="12720" tabRatio="500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Jполн">Лист1!$B$14</definedName>
    <definedName name="Jст">Лист1!$B$13</definedName>
    <definedName name="L_1">Лист1!$E$3</definedName>
    <definedName name="L_2">Лист1!$E$4</definedName>
    <definedName name="Lambda">Лист1!$E$2</definedName>
    <definedName name="Lпр">Лист1!$B$10</definedName>
    <definedName name="Lст">Лист1!$B$9</definedName>
    <definedName name="M_1">Лист1!$B$5</definedName>
    <definedName name="M_2">Лист1!$B$6</definedName>
    <definedName name="Mполн">Лист1!$B$8</definedName>
    <definedName name="Mпр">Лист1!$B$3</definedName>
    <definedName name="Mпр2">Лист1!$B$4</definedName>
    <definedName name="Mст">Лист1!$B$2</definedName>
  </definedNames>
  <calcPr calcId="12451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T16" i="1"/>
  <c r="R16"/>
  <c r="N16"/>
  <c r="P16" s="1"/>
  <c r="H10"/>
  <c r="G4"/>
  <c r="Q15"/>
  <c r="T15"/>
  <c r="P15"/>
  <c r="I10"/>
  <c r="P13"/>
  <c r="T13"/>
  <c r="R11"/>
  <c r="T11"/>
  <c r="P11"/>
  <c r="T10"/>
  <c r="T9"/>
  <c r="P10"/>
  <c r="P9"/>
  <c r="P8"/>
  <c r="T8"/>
  <c r="T7"/>
  <c r="P7"/>
  <c r="T6"/>
  <c r="P6"/>
  <c r="T5"/>
  <c r="T4"/>
  <c r="T3"/>
  <c r="T2"/>
  <c r="P3"/>
  <c r="P4"/>
  <c r="P5"/>
  <c r="P2"/>
  <c r="F32" i="3" l="1"/>
  <c r="C32"/>
  <c r="G32" s="1"/>
  <c r="F31"/>
  <c r="C31"/>
  <c r="D31" s="1"/>
  <c r="F30"/>
  <c r="C30"/>
  <c r="D30" s="1"/>
  <c r="F29"/>
  <c r="C29"/>
  <c r="G29" s="1"/>
  <c r="F28"/>
  <c r="C28"/>
  <c r="E28" s="1"/>
  <c r="F27"/>
  <c r="C27"/>
  <c r="D27" s="1"/>
  <c r="F26"/>
  <c r="C26"/>
  <c r="D26" s="1"/>
  <c r="F25"/>
  <c r="C25"/>
  <c r="G25" s="1"/>
  <c r="F24"/>
  <c r="C24"/>
  <c r="E24" s="1"/>
  <c r="F23"/>
  <c r="C23"/>
  <c r="D23" s="1"/>
  <c r="F22"/>
  <c r="C22"/>
  <c r="D22" s="1"/>
  <c r="F21"/>
  <c r="C21"/>
  <c r="G21" s="1"/>
  <c r="F20"/>
  <c r="C20"/>
  <c r="E20" s="1"/>
  <c r="F19"/>
  <c r="C19"/>
  <c r="D19" s="1"/>
  <c r="F18"/>
  <c r="C18"/>
  <c r="D18" s="1"/>
  <c r="F17"/>
  <c r="C17"/>
  <c r="G17" s="1"/>
  <c r="F16"/>
  <c r="C16"/>
  <c r="E16" s="1"/>
  <c r="F15"/>
  <c r="C15"/>
  <c r="D15" s="1"/>
  <c r="F14"/>
  <c r="C14"/>
  <c r="D14" s="1"/>
  <c r="F13"/>
  <c r="C13"/>
  <c r="G13" s="1"/>
  <c r="F12"/>
  <c r="C12"/>
  <c r="E12" s="1"/>
  <c r="F11"/>
  <c r="C11"/>
  <c r="D11" s="1"/>
  <c r="F10"/>
  <c r="C10"/>
  <c r="D10" s="1"/>
  <c r="F9"/>
  <c r="C9"/>
  <c r="G9" s="1"/>
  <c r="F8"/>
  <c r="C8"/>
  <c r="E8" s="1"/>
  <c r="G7"/>
  <c r="F7"/>
  <c r="E7"/>
  <c r="C7"/>
  <c r="D7" s="1"/>
  <c r="F6"/>
  <c r="C6"/>
  <c r="D6" s="1"/>
  <c r="F5"/>
  <c r="C5"/>
  <c r="G5" s="1"/>
  <c r="F4"/>
  <c r="C4"/>
  <c r="E4" s="1"/>
  <c r="F3"/>
  <c r="C3"/>
  <c r="D3" s="1"/>
  <c r="B36" i="2"/>
  <c r="B37" s="1"/>
  <c r="C37" s="1"/>
  <c r="B14"/>
  <c r="B13"/>
  <c r="B12"/>
  <c r="C12" s="1"/>
  <c r="C11"/>
  <c r="F11" s="1"/>
  <c r="B11"/>
  <c r="C10"/>
  <c r="D10" s="1"/>
  <c r="B50" i="1"/>
  <c r="B49"/>
  <c r="B48"/>
  <c r="B47"/>
  <c r="B46"/>
  <c r="B45"/>
  <c r="B44"/>
  <c r="B43"/>
  <c r="B42"/>
  <c r="B41"/>
  <c r="B40"/>
  <c r="B13"/>
  <c r="B7"/>
  <c r="E3"/>
  <c r="C34" s="1"/>
  <c r="E34" s="1"/>
  <c r="H32" i="3" l="1"/>
  <c r="C36" i="2"/>
  <c r="D36" s="1"/>
  <c r="E13" i="3"/>
  <c r="E29"/>
  <c r="G4"/>
  <c r="H4" s="1"/>
  <c r="E25"/>
  <c r="G8"/>
  <c r="H8" s="1"/>
  <c r="D21"/>
  <c r="G23"/>
  <c r="H23" s="1"/>
  <c r="E21"/>
  <c r="D9"/>
  <c r="E19"/>
  <c r="E9"/>
  <c r="G24"/>
  <c r="H24" s="1"/>
  <c r="H9"/>
  <c r="D13"/>
  <c r="G19"/>
  <c r="H19" s="1"/>
  <c r="E23"/>
  <c r="D29"/>
  <c r="D11" i="2"/>
  <c r="H11" s="1"/>
  <c r="D5" i="3"/>
  <c r="G12"/>
  <c r="H12" s="1"/>
  <c r="E15"/>
  <c r="E17"/>
  <c r="E3"/>
  <c r="E5"/>
  <c r="D25"/>
  <c r="G27"/>
  <c r="H27" s="1"/>
  <c r="G3"/>
  <c r="H3" s="1"/>
  <c r="E11"/>
  <c r="H25"/>
  <c r="G15"/>
  <c r="H15" s="1"/>
  <c r="G20"/>
  <c r="H20" s="1"/>
  <c r="F10" i="2"/>
  <c r="G28" i="3"/>
  <c r="H28" s="1"/>
  <c r="E31"/>
  <c r="D17"/>
  <c r="E11" i="2"/>
  <c r="G11" s="1"/>
  <c r="G11" i="3"/>
  <c r="H11" s="1"/>
  <c r="G16"/>
  <c r="H16" s="1"/>
  <c r="E27"/>
  <c r="C19" i="1"/>
  <c r="E19" s="1"/>
  <c r="H7" i="3"/>
  <c r="H13"/>
  <c r="H29"/>
  <c r="H5"/>
  <c r="H21"/>
  <c r="C49" i="1"/>
  <c r="E49" s="1"/>
  <c r="C47"/>
  <c r="E47" s="1"/>
  <c r="C45"/>
  <c r="E45" s="1"/>
  <c r="C43"/>
  <c r="E43" s="1"/>
  <c r="C41"/>
  <c r="E41" s="1"/>
  <c r="C29"/>
  <c r="E29" s="1"/>
  <c r="C21"/>
  <c r="E21" s="1"/>
  <c r="C31"/>
  <c r="E31" s="1"/>
  <c r="C23"/>
  <c r="E23" s="1"/>
  <c r="C30"/>
  <c r="E30" s="1"/>
  <c r="C28"/>
  <c r="E28" s="1"/>
  <c r="C20"/>
  <c r="E20" s="1"/>
  <c r="C50"/>
  <c r="E50" s="1"/>
  <c r="C48"/>
  <c r="E48" s="1"/>
  <c r="C46"/>
  <c r="E46" s="1"/>
  <c r="C44"/>
  <c r="E44" s="1"/>
  <c r="C42"/>
  <c r="E42" s="1"/>
  <c r="C40"/>
  <c r="E40" s="1"/>
  <c r="C33"/>
  <c r="E33" s="1"/>
  <c r="C25"/>
  <c r="E25" s="1"/>
  <c r="C22"/>
  <c r="E22" s="1"/>
  <c r="E4"/>
  <c r="B14" s="1"/>
  <c r="C32"/>
  <c r="E32" s="1"/>
  <c r="C24"/>
  <c r="E24" s="1"/>
  <c r="C35"/>
  <c r="E35" s="1"/>
  <c r="F37" i="2"/>
  <c r="D37"/>
  <c r="H37" s="1"/>
  <c r="C14"/>
  <c r="E14" s="1"/>
  <c r="B15"/>
  <c r="C26" i="1"/>
  <c r="E26" s="1"/>
  <c r="E37" i="2"/>
  <c r="H17" i="3"/>
  <c r="C27" i="1"/>
  <c r="E27" s="1"/>
  <c r="F12" i="2"/>
  <c r="E12"/>
  <c r="D12"/>
  <c r="H12" s="1"/>
  <c r="E10"/>
  <c r="E6" i="3"/>
  <c r="E10"/>
  <c r="E14"/>
  <c r="E18"/>
  <c r="E22"/>
  <c r="E26"/>
  <c r="E30"/>
  <c r="G31"/>
  <c r="H31" s="1"/>
  <c r="G30"/>
  <c r="H30" s="1"/>
  <c r="H10" i="2"/>
  <c r="C13"/>
  <c r="F36"/>
  <c r="D4" i="3"/>
  <c r="D8"/>
  <c r="D12"/>
  <c r="D16"/>
  <c r="D20"/>
  <c r="D24"/>
  <c r="D28"/>
  <c r="D32"/>
  <c r="G6"/>
  <c r="H6" s="1"/>
  <c r="G10"/>
  <c r="H10" s="1"/>
  <c r="G14"/>
  <c r="H14" s="1"/>
  <c r="G18"/>
  <c r="H18" s="1"/>
  <c r="G22"/>
  <c r="H22" s="1"/>
  <c r="G26"/>
  <c r="H26" s="1"/>
  <c r="E32"/>
  <c r="B38" i="2"/>
  <c r="H36" l="1"/>
  <c r="E36"/>
  <c r="G36" s="1"/>
  <c r="G10"/>
  <c r="G12"/>
  <c r="G37"/>
  <c r="B16"/>
  <c r="C15"/>
  <c r="C38"/>
  <c r="E38" s="1"/>
  <c r="B39"/>
  <c r="F13"/>
  <c r="D13"/>
  <c r="H13" s="1"/>
  <c r="F14"/>
  <c r="G14" s="1"/>
  <c r="D14"/>
  <c r="H14" s="1"/>
  <c r="D34" i="1"/>
  <c r="D26"/>
  <c r="D28"/>
  <c r="D20"/>
  <c r="D50"/>
  <c r="D48"/>
  <c r="D46"/>
  <c r="D44"/>
  <c r="D42"/>
  <c r="D40"/>
  <c r="D33"/>
  <c r="D25"/>
  <c r="D35"/>
  <c r="D27"/>
  <c r="D19"/>
  <c r="D30"/>
  <c r="D22"/>
  <c r="D49"/>
  <c r="D47"/>
  <c r="D45"/>
  <c r="D43"/>
  <c r="D41"/>
  <c r="D29"/>
  <c r="D21"/>
  <c r="D31"/>
  <c r="D24"/>
  <c r="D23"/>
  <c r="D32"/>
  <c r="E13" i="2"/>
  <c r="G13" l="1"/>
  <c r="D38"/>
  <c r="H38" s="1"/>
  <c r="F38"/>
  <c r="G38" s="1"/>
  <c r="F15"/>
  <c r="D15"/>
  <c r="H15" s="1"/>
  <c r="E15"/>
  <c r="C39"/>
  <c r="E39" s="1"/>
  <c r="B40"/>
  <c r="C16"/>
  <c r="B17"/>
  <c r="G15" l="1"/>
  <c r="F16"/>
  <c r="D16"/>
  <c r="H16" s="1"/>
  <c r="E16"/>
  <c r="C40"/>
  <c r="B41"/>
  <c r="D39"/>
  <c r="H39" s="1"/>
  <c r="F39"/>
  <c r="G39" s="1"/>
  <c r="C17"/>
  <c r="E17" s="1"/>
  <c r="B18"/>
  <c r="C41" l="1"/>
  <c r="B42"/>
  <c r="F40"/>
  <c r="D40"/>
  <c r="H40" s="1"/>
  <c r="G16"/>
  <c r="E40"/>
  <c r="C18"/>
  <c r="B19"/>
  <c r="F17"/>
  <c r="G17" s="1"/>
  <c r="D17"/>
  <c r="H17" s="1"/>
  <c r="C19" l="1"/>
  <c r="E19" s="1"/>
  <c r="B20"/>
  <c r="C42"/>
  <c r="E42" s="1"/>
  <c r="B43"/>
  <c r="D18"/>
  <c r="H18" s="1"/>
  <c r="F18"/>
  <c r="F41"/>
  <c r="D41"/>
  <c r="H41" s="1"/>
  <c r="E18"/>
  <c r="G40"/>
  <c r="E41"/>
  <c r="G41" l="1"/>
  <c r="B44"/>
  <c r="C43"/>
  <c r="E43" s="1"/>
  <c r="G18"/>
  <c r="F42"/>
  <c r="G42" s="1"/>
  <c r="D42"/>
  <c r="H42" s="1"/>
  <c r="C20"/>
  <c r="E20" s="1"/>
  <c r="B21"/>
  <c r="D19"/>
  <c r="H19" s="1"/>
  <c r="F19"/>
  <c r="G19" s="1"/>
  <c r="C21" l="1"/>
  <c r="E21" s="1"/>
  <c r="B22"/>
  <c r="F43"/>
  <c r="G43" s="1"/>
  <c r="D43"/>
  <c r="H43" s="1"/>
  <c r="F20"/>
  <c r="G20" s="1"/>
  <c r="D20"/>
  <c r="H20" s="1"/>
  <c r="B45"/>
  <c r="C44"/>
  <c r="C22" l="1"/>
  <c r="B23"/>
  <c r="C45"/>
  <c r="E45" s="1"/>
  <c r="B46"/>
  <c r="D44"/>
  <c r="H44" s="1"/>
  <c r="F44"/>
  <c r="E44"/>
  <c r="F21"/>
  <c r="G21" s="1"/>
  <c r="D21"/>
  <c r="H21" s="1"/>
  <c r="G44" l="1"/>
  <c r="C46"/>
  <c r="E46" s="1"/>
  <c r="F45"/>
  <c r="G45" s="1"/>
  <c r="D45"/>
  <c r="H45" s="1"/>
  <c r="B24"/>
  <c r="C23"/>
  <c r="E23" s="1"/>
  <c r="F22"/>
  <c r="D22"/>
  <c r="H22" s="1"/>
  <c r="E22"/>
  <c r="G22" l="1"/>
  <c r="D46"/>
  <c r="H46" s="1"/>
  <c r="F46"/>
  <c r="G46" s="1"/>
  <c r="B25"/>
  <c r="C24"/>
  <c r="F23"/>
  <c r="G23" s="1"/>
  <c r="D23"/>
  <c r="H23" s="1"/>
  <c r="F24" l="1"/>
  <c r="D24"/>
  <c r="H24" s="1"/>
  <c r="C25"/>
  <c r="E25" s="1"/>
  <c r="B26"/>
  <c r="E24"/>
  <c r="G24" l="1"/>
  <c r="C26"/>
  <c r="E26" s="1"/>
  <c r="B27"/>
  <c r="F25"/>
  <c r="G25" s="1"/>
  <c r="D25"/>
  <c r="H25" s="1"/>
  <c r="C27" l="1"/>
  <c r="B28"/>
  <c r="D26"/>
  <c r="H26" s="1"/>
  <c r="F26"/>
  <c r="G26" s="1"/>
  <c r="D27" l="1"/>
  <c r="H27" s="1"/>
  <c r="F27"/>
  <c r="C28"/>
  <c r="B29"/>
  <c r="E27"/>
  <c r="F28" l="1"/>
  <c r="D28"/>
  <c r="H28" s="1"/>
  <c r="G27"/>
  <c r="C29"/>
  <c r="B30"/>
  <c r="E28"/>
  <c r="G28" l="1"/>
  <c r="F29"/>
  <c r="D29"/>
  <c r="H29" s="1"/>
  <c r="C30"/>
  <c r="B31"/>
  <c r="E29"/>
  <c r="G29" l="1"/>
  <c r="C31"/>
  <c r="E31" s="1"/>
  <c r="F30"/>
  <c r="D30"/>
  <c r="H30" s="1"/>
  <c r="E30"/>
  <c r="G30" l="1"/>
  <c r="F31"/>
  <c r="G31" s="1"/>
  <c r="D31"/>
  <c r="H31" s="1"/>
</calcChain>
</file>

<file path=xl/sharedStrings.xml><?xml version="1.0" encoding="utf-8"?>
<sst xmlns="http://schemas.openxmlformats.org/spreadsheetml/2006/main" count="88" uniqueCount="54">
  <si>
    <t>I. Введите данные установки в жёлтые ячейки</t>
  </si>
  <si>
    <t>Масса стержня Mст</t>
  </si>
  <si>
    <t>г</t>
  </si>
  <si>
    <t>L1/L2=</t>
  </si>
  <si>
    <t>Масса призмы Mпр1</t>
  </si>
  <si>
    <t>L1=</t>
  </si>
  <si>
    <t>см</t>
  </si>
  <si>
    <t>Масса призмы Mпр2</t>
  </si>
  <si>
    <t>L2=</t>
  </si>
  <si>
    <t xml:space="preserve">Масса груза M1 </t>
  </si>
  <si>
    <t>Масса груза M2</t>
  </si>
  <si>
    <t>Масса маятника M
(вычисленная)</t>
  </si>
  <si>
    <t>Масса маятника M
(измеренная)</t>
  </si>
  <si>
    <t>Длина стержня Lст</t>
  </si>
  <si>
    <t>Расстояние между
призмами L</t>
  </si>
  <si>
    <t>Моменты инерции относительно призмы П2:</t>
  </si>
  <si>
    <t>Момент инерции
стержня Jст</t>
  </si>
  <si>
    <r>
      <rPr>
        <sz val="11"/>
        <rFont val="Arial"/>
        <family val="2"/>
        <charset val="1"/>
      </rPr>
      <t>кг*м</t>
    </r>
    <r>
      <rPr>
        <vertAlign val="superscript"/>
        <sz val="11"/>
        <rFont val="Arial"/>
        <family val="2"/>
        <charset val="1"/>
      </rPr>
      <t>2</t>
    </r>
  </si>
  <si>
    <t>Момент инерции
маятника J</t>
  </si>
  <si>
    <t>II. По графику зависимости момента инерции от положения грузов 
определите точку пересечения</t>
  </si>
  <si>
    <t>b2</t>
  </si>
  <si>
    <t>b1</t>
  </si>
  <si>
    <t>J — Jст</t>
  </si>
  <si>
    <t>Jгр</t>
  </si>
  <si>
    <r>
      <rPr>
        <sz val="11"/>
        <rFont val="Times New Roman"/>
        <family val="1"/>
        <charset val="1"/>
      </rPr>
      <t>кг*м</t>
    </r>
    <r>
      <rPr>
        <vertAlign val="superscript"/>
        <sz val="11"/>
        <rFont val="Times New Roman"/>
        <family val="1"/>
        <charset val="1"/>
      </rPr>
      <t>2</t>
    </r>
  </si>
  <si>
    <t>III. Уточните положение точки пересечения</t>
  </si>
  <si>
    <t>← кандидат на решение</t>
  </si>
  <si>
    <t>← шаг</t>
  </si>
  <si>
    <t>I. Введите данные установки в жёлтые ячейки на Листе 1</t>
  </si>
  <si>
    <t>II. Подберите положение груза Г2</t>
  </si>
  <si>
    <t>Положение груза, b2</t>
  </si>
  <si>
    <t>II. По графику зависимости момента инерции от длины L2
определите точки пересечения</t>
  </si>
  <si>
    <t>Моменты инерции относительно центра масс</t>
  </si>
  <si>
    <t>Момент
инерции
маятника</t>
  </si>
  <si>
    <t>Момент
инерции
стержня</t>
  </si>
  <si>
    <t>Момент
инерции
грузов</t>
  </si>
  <si>
    <t>L2</t>
  </si>
  <si>
    <t>L1</t>
  </si>
  <si>
    <t>J0</t>
  </si>
  <si>
    <t>Jст</t>
  </si>
  <si>
    <t>J0 — Jст</t>
  </si>
  <si>
    <t>Минимальное L2 →</t>
  </si>
  <si>
    <t>Определение минимального значения L2</t>
  </si>
  <si>
    <t>L1/L2</t>
  </si>
  <si>
    <t>Jгр(min)</t>
  </si>
  <si>
    <t>Jст + Jгр(min)</t>
  </si>
  <si>
    <t>t2</t>
  </si>
  <si>
    <t>t1</t>
  </si>
  <si>
    <t>N</t>
  </si>
  <si>
    <t>T2</t>
  </si>
  <si>
    <t>калибровка</t>
  </si>
  <si>
    <t>еще калибровка</t>
  </si>
  <si>
    <t>и еще калибровка</t>
  </si>
  <si>
    <t>погрешность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</si>
</sst>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#,##0.000"/>
  </numFmts>
  <fonts count="10"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name val="Arial"/>
      <family val="2"/>
      <charset val="1"/>
    </font>
    <font>
      <sz val="12"/>
      <name val="Calibri"/>
      <family val="2"/>
      <charset val="1"/>
    </font>
    <font>
      <sz val="12"/>
      <name val="Times New Roman"/>
      <family val="1"/>
      <charset val="1"/>
    </font>
    <font>
      <vertAlign val="superscript"/>
      <sz val="11"/>
      <name val="Arial"/>
      <family val="2"/>
      <charset val="1"/>
    </font>
    <font>
      <sz val="11"/>
      <name val="Times New Roman"/>
      <family val="1"/>
      <charset val="1"/>
    </font>
    <font>
      <vertAlign val="superscript"/>
      <sz val="11"/>
      <name val="Times New Roman"/>
      <family val="1"/>
      <charset val="1"/>
    </font>
    <font>
      <i/>
      <sz val="10"/>
      <name val="Calibri"/>
      <family val="2"/>
      <charset val="1"/>
    </font>
    <font>
      <sz val="10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81D41A"/>
        <bgColor rgb="FFB3B3B3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F6F9D4"/>
        <bgColor rgb="FFFFFFD7"/>
      </patternFill>
    </fill>
    <fill>
      <patternFill patternType="solid">
        <fgColor rgb="FFDDE8CB"/>
        <bgColor rgb="FFDDDDDD"/>
      </patternFill>
    </fill>
    <fill>
      <patternFill patternType="solid">
        <fgColor rgb="FFFFD7D7"/>
        <bgColor rgb="FFDDDDDD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6F9D4"/>
      </patternFill>
    </fill>
    <fill>
      <patternFill patternType="solid">
        <fgColor rgb="FFB4C7DC"/>
        <bgColor rgb="FF99CCFF"/>
      </patternFill>
    </fill>
  </fills>
  <borders count="1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2" fillId="3" borderId="2" xfId="0" applyFont="1" applyFill="1" applyBorder="1" applyProtection="1">
      <protection locked="0"/>
    </xf>
    <xf numFmtId="0" fontId="2" fillId="0" borderId="3" xfId="0" applyFont="1" applyBorder="1"/>
    <xf numFmtId="0" fontId="4" fillId="0" borderId="1" xfId="0" applyFont="1" applyBorder="1" applyAlignment="1">
      <alignment horizontal="right"/>
    </xf>
    <xf numFmtId="4" fontId="2" fillId="3" borderId="2" xfId="0" applyNumberFormat="1" applyFont="1" applyFill="1" applyBorder="1" applyProtection="1">
      <protection locked="0"/>
    </xf>
    <xf numFmtId="0" fontId="4" fillId="0" borderId="4" xfId="0" applyFont="1" applyBorder="1"/>
    <xf numFmtId="0" fontId="2" fillId="3" borderId="0" xfId="0" applyFont="1" applyFill="1" applyProtection="1">
      <protection locked="0"/>
    </xf>
    <xf numFmtId="0" fontId="2" fillId="0" borderId="5" xfId="0" applyFont="1" applyBorder="1"/>
    <xf numFmtId="0" fontId="4" fillId="0" borderId="4" xfId="0" applyFont="1" applyBorder="1" applyAlignment="1">
      <alignment horizontal="right"/>
    </xf>
    <xf numFmtId="164" fontId="2" fillId="4" borderId="0" xfId="0" applyNumberFormat="1" applyFont="1" applyFill="1"/>
    <xf numFmtId="0" fontId="4" fillId="0" borderId="6" xfId="0" applyFont="1" applyBorder="1" applyAlignment="1">
      <alignment horizontal="right"/>
    </xf>
    <xf numFmtId="164" fontId="2" fillId="4" borderId="7" xfId="0" applyNumberFormat="1" applyFont="1" applyFill="1" applyBorder="1"/>
    <xf numFmtId="0" fontId="2" fillId="0" borderId="8" xfId="0" applyFont="1" applyBorder="1"/>
    <xf numFmtId="0" fontId="2" fillId="0" borderId="0" xfId="0" applyFont="1"/>
    <xf numFmtId="0" fontId="4" fillId="0" borderId="6" xfId="0" applyFont="1" applyBorder="1"/>
    <xf numFmtId="0" fontId="2" fillId="3" borderId="7" xfId="0" applyFont="1" applyFill="1" applyBorder="1" applyProtection="1">
      <protection locked="0"/>
    </xf>
    <xf numFmtId="0" fontId="4" fillId="0" borderId="1" xfId="0" applyFont="1" applyBorder="1" applyAlignment="1">
      <alignment wrapText="1"/>
    </xf>
    <xf numFmtId="0" fontId="2" fillId="4" borderId="2" xfId="0" applyFont="1" applyFill="1" applyBorder="1" applyProtection="1"/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0" borderId="0" xfId="0" applyFont="1"/>
    <xf numFmtId="165" fontId="2" fillId="4" borderId="2" xfId="0" applyNumberFormat="1" applyFont="1" applyFill="1" applyBorder="1"/>
    <xf numFmtId="165" fontId="2" fillId="0" borderId="3" xfId="0" applyNumberFormat="1" applyFont="1" applyBorder="1"/>
    <xf numFmtId="166" fontId="2" fillId="4" borderId="7" xfId="0" applyNumberFormat="1" applyFont="1" applyFill="1" applyBorder="1"/>
    <xf numFmtId="165" fontId="2" fillId="0" borderId="8" xfId="0" applyNumberFormat="1" applyFont="1" applyBorder="1"/>
    <xf numFmtId="0" fontId="2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0" fillId="6" borderId="14" xfId="0" applyNumberFormat="1" applyFont="1" applyFill="1" applyBorder="1"/>
    <xf numFmtId="164" fontId="0" fillId="5" borderId="14" xfId="0" applyNumberFormat="1" applyFont="1" applyFill="1" applyBorder="1"/>
    <xf numFmtId="166" fontId="0" fillId="7" borderId="14" xfId="0" applyNumberFormat="1" applyFont="1" applyFill="1" applyBorder="1"/>
    <xf numFmtId="166" fontId="0" fillId="8" borderId="14" xfId="0" applyNumberFormat="1" applyFont="1" applyFill="1" applyBorder="1"/>
    <xf numFmtId="165" fontId="3" fillId="0" borderId="0" xfId="0" applyNumberFormat="1" applyFont="1"/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/>
    <xf numFmtId="164" fontId="0" fillId="6" borderId="15" xfId="0" applyNumberFormat="1" applyFont="1" applyFill="1" applyBorder="1"/>
    <xf numFmtId="164" fontId="0" fillId="5" borderId="15" xfId="0" applyNumberFormat="1" applyFont="1" applyFill="1" applyBorder="1"/>
    <xf numFmtId="166" fontId="0" fillId="7" borderId="15" xfId="0" applyNumberFormat="1" applyFont="1" applyFill="1" applyBorder="1"/>
    <xf numFmtId="166" fontId="0" fillId="8" borderId="15" xfId="0" applyNumberFormat="1" applyFont="1" applyFill="1" applyBorder="1"/>
    <xf numFmtId="0" fontId="2" fillId="0" borderId="0" xfId="0" applyFont="1" applyBorder="1" applyAlignment="1">
      <alignment horizontal="center" vertical="center"/>
    </xf>
    <xf numFmtId="0" fontId="0" fillId="3" borderId="0" xfId="0" applyFont="1" applyFill="1" applyProtection="1">
      <protection locked="0"/>
    </xf>
    <xf numFmtId="0" fontId="4" fillId="0" borderId="0" xfId="0" applyFont="1" applyAlignment="1">
      <alignment horizontal="left" wrapText="1"/>
    </xf>
    <xf numFmtId="0" fontId="9" fillId="0" borderId="0" xfId="0" applyFont="1"/>
    <xf numFmtId="164" fontId="0" fillId="6" borderId="12" xfId="0" applyNumberFormat="1" applyFont="1" applyFill="1" applyBorder="1"/>
    <xf numFmtId="164" fontId="0" fillId="5" borderId="12" xfId="0" applyNumberFormat="1" applyFont="1" applyFill="1" applyBorder="1"/>
    <xf numFmtId="166" fontId="0" fillId="7" borderId="12" xfId="0" applyNumberFormat="1" applyFont="1" applyFill="1" applyBorder="1"/>
    <xf numFmtId="166" fontId="0" fillId="8" borderId="12" xfId="0" applyNumberFormat="1" applyFont="1" applyFill="1" applyBorder="1"/>
    <xf numFmtId="4" fontId="1" fillId="0" borderId="0" xfId="0" applyNumberFormat="1" applyFont="1"/>
    <xf numFmtId="0" fontId="0" fillId="0" borderId="0" xfId="0"/>
    <xf numFmtId="0" fontId="4" fillId="0" borderId="0" xfId="0" applyFont="1"/>
    <xf numFmtId="0" fontId="2" fillId="0" borderId="0" xfId="0" applyFont="1" applyProtection="1">
      <protection locked="0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3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15" xfId="0" applyFont="1" applyBorder="1"/>
    <xf numFmtId="0" fontId="6" fillId="0" borderId="0" xfId="0" applyFont="1"/>
    <xf numFmtId="164" fontId="0" fillId="3" borderId="4" xfId="0" applyNumberFormat="1" applyFill="1" applyBorder="1"/>
    <xf numFmtId="164" fontId="0" fillId="0" borderId="0" xfId="0" applyNumberFormat="1"/>
    <xf numFmtId="164" fontId="0" fillId="5" borderId="14" xfId="0" applyNumberFormat="1" applyFill="1" applyBorder="1"/>
    <xf numFmtId="166" fontId="0" fillId="0" borderId="4" xfId="0" applyNumberFormat="1" applyBorder="1"/>
    <xf numFmtId="166" fontId="0" fillId="0" borderId="0" xfId="0" applyNumberFormat="1"/>
    <xf numFmtId="166" fontId="0" fillId="7" borderId="0" xfId="0" applyNumberFormat="1" applyFill="1"/>
    <xf numFmtId="166" fontId="0" fillId="8" borderId="14" xfId="0" applyNumberFormat="1" applyFill="1" applyBorder="1"/>
    <xf numFmtId="164" fontId="0" fillId="6" borderId="4" xfId="0" applyNumberFormat="1" applyFill="1" applyBorder="1"/>
    <xf numFmtId="164" fontId="0" fillId="6" borderId="6" xfId="0" applyNumberFormat="1" applyFill="1" applyBorder="1"/>
    <xf numFmtId="164" fontId="0" fillId="0" borderId="7" xfId="0" applyNumberFormat="1" applyBorder="1"/>
    <xf numFmtId="164" fontId="0" fillId="5" borderId="15" xfId="0" applyNumberFormat="1" applyFill="1" applyBorder="1"/>
    <xf numFmtId="166" fontId="0" fillId="0" borderId="6" xfId="0" applyNumberFormat="1" applyBorder="1"/>
    <xf numFmtId="166" fontId="0" fillId="0" borderId="7" xfId="0" applyNumberFormat="1" applyBorder="1"/>
    <xf numFmtId="166" fontId="0" fillId="7" borderId="7" xfId="0" applyNumberFormat="1" applyFill="1" applyBorder="1"/>
    <xf numFmtId="166" fontId="0" fillId="8" borderId="15" xfId="0" applyNumberFormat="1" applyFill="1" applyBorder="1"/>
    <xf numFmtId="0" fontId="0" fillId="3" borderId="0" xfId="0" applyFill="1" applyProtection="1">
      <protection locked="0"/>
    </xf>
    <xf numFmtId="0" fontId="4" fillId="0" borderId="0" xfId="0" applyFont="1" applyAlignment="1">
      <alignment horizontal="left" vertical="center" wrapText="1"/>
    </xf>
    <xf numFmtId="164" fontId="0" fillId="6" borderId="1" xfId="0" applyNumberFormat="1" applyFill="1" applyBorder="1"/>
    <xf numFmtId="164" fontId="0" fillId="0" borderId="2" xfId="0" applyNumberFormat="1" applyBorder="1"/>
    <xf numFmtId="164" fontId="0" fillId="5" borderId="12" xfId="0" applyNumberFormat="1" applyFill="1" applyBorder="1"/>
    <xf numFmtId="166" fontId="0" fillId="0" borderId="2" xfId="0" applyNumberFormat="1" applyBorder="1"/>
    <xf numFmtId="166" fontId="0" fillId="7" borderId="2" xfId="0" applyNumberFormat="1" applyFill="1" applyBorder="1"/>
    <xf numFmtId="166" fontId="0" fillId="8" borderId="12" xfId="0" applyNumberFormat="1" applyFill="1" applyBorder="1"/>
    <xf numFmtId="4" fontId="0" fillId="0" borderId="0" xfId="0" applyNumberFormat="1"/>
    <xf numFmtId="164" fontId="0" fillId="6" borderId="0" xfId="0" applyNumberFormat="1" applyFill="1"/>
    <xf numFmtId="166" fontId="0" fillId="10" borderId="0" xfId="0" applyNumberFormat="1" applyFill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0" fillId="9" borderId="1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Лист1!$B$40:$B$50</c:f>
              <c:numCache>
                <c:formatCode>#,##0.0</c:formatCode>
                <c:ptCount val="11"/>
                <c:pt idx="0">
                  <c:v>11.8</c:v>
                </c:pt>
                <c:pt idx="1">
                  <c:v>11.9</c:v>
                </c:pt>
                <c:pt idx="2">
                  <c:v>12</c:v>
                </c:pt>
                <c:pt idx="3">
                  <c:v>12.100000000000001</c:v>
                </c:pt>
                <c:pt idx="4">
                  <c:v>12.200000000000001</c:v>
                </c:pt>
                <c:pt idx="5">
                  <c:v>12.3</c:v>
                </c:pt>
                <c:pt idx="6">
                  <c:v>12.4</c:v>
                </c:pt>
                <c:pt idx="7">
                  <c:v>12.5</c:v>
                </c:pt>
                <c:pt idx="8">
                  <c:v>12.600000000000001</c:v>
                </c:pt>
                <c:pt idx="9">
                  <c:v>12.700000000000001</c:v>
                </c:pt>
                <c:pt idx="10">
                  <c:v>12.8</c:v>
                </c:pt>
              </c:numCache>
            </c:numRef>
          </c:xVal>
          <c:yVal>
            <c:numRef>
              <c:f>Лист1!$D$40:$D$50</c:f>
              <c:numCache>
                <c:formatCode>#,##0.000</c:formatCode>
                <c:ptCount val="11"/>
                <c:pt idx="0">
                  <c:v>0.22187862469485706</c:v>
                </c:pt>
                <c:pt idx="1">
                  <c:v>0.22187862469485706</c:v>
                </c:pt>
                <c:pt idx="2">
                  <c:v>0.22187862469485706</c:v>
                </c:pt>
                <c:pt idx="3">
                  <c:v>0.22187862469485706</c:v>
                </c:pt>
                <c:pt idx="4">
                  <c:v>0.22187862469485706</c:v>
                </c:pt>
                <c:pt idx="5">
                  <c:v>0.22187862469485706</c:v>
                </c:pt>
                <c:pt idx="6">
                  <c:v>0.22187862469485706</c:v>
                </c:pt>
                <c:pt idx="7">
                  <c:v>0.22187862469485706</c:v>
                </c:pt>
                <c:pt idx="8">
                  <c:v>0.22187862469485706</c:v>
                </c:pt>
                <c:pt idx="9">
                  <c:v>0.22187862469485706</c:v>
                </c:pt>
                <c:pt idx="10">
                  <c:v>0.22187862469485706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A9-4F29-B773-5361DAEFE9E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Лист1!$B$40:$B$50</c:f>
              <c:numCache>
                <c:formatCode>#,##0.0</c:formatCode>
                <c:ptCount val="11"/>
                <c:pt idx="0">
                  <c:v>11.8</c:v>
                </c:pt>
                <c:pt idx="1">
                  <c:v>11.9</c:v>
                </c:pt>
                <c:pt idx="2">
                  <c:v>12</c:v>
                </c:pt>
                <c:pt idx="3">
                  <c:v>12.100000000000001</c:v>
                </c:pt>
                <c:pt idx="4">
                  <c:v>12.200000000000001</c:v>
                </c:pt>
                <c:pt idx="5">
                  <c:v>12.3</c:v>
                </c:pt>
                <c:pt idx="6">
                  <c:v>12.4</c:v>
                </c:pt>
                <c:pt idx="7">
                  <c:v>12.5</c:v>
                </c:pt>
                <c:pt idx="8">
                  <c:v>12.600000000000001</c:v>
                </c:pt>
                <c:pt idx="9">
                  <c:v>12.700000000000001</c:v>
                </c:pt>
                <c:pt idx="10">
                  <c:v>12.8</c:v>
                </c:pt>
              </c:numCache>
            </c:numRef>
          </c:xVal>
          <c:yVal>
            <c:numRef>
              <c:f>Лист1!$E$40:$E$50</c:f>
              <c:numCache>
                <c:formatCode>#,##0.000</c:formatCode>
                <c:ptCount val="11"/>
                <c:pt idx="0">
                  <c:v>0.2108456266881073</c:v>
                </c:pt>
                <c:pt idx="1">
                  <c:v>0.21225791712025949</c:v>
                </c:pt>
                <c:pt idx="2">
                  <c:v>0.21367612467838554</c:v>
                </c:pt>
                <c:pt idx="3">
                  <c:v>0.21510024936248581</c:v>
                </c:pt>
                <c:pt idx="4">
                  <c:v>0.21653029117255998</c:v>
                </c:pt>
                <c:pt idx="5">
                  <c:v>0.2179662501086081</c:v>
                </c:pt>
                <c:pt idx="6">
                  <c:v>0.21940812617063052</c:v>
                </c:pt>
                <c:pt idx="7">
                  <c:v>0.2208559193586267</c:v>
                </c:pt>
                <c:pt idx="8">
                  <c:v>0.22230962967259721</c:v>
                </c:pt>
                <c:pt idx="9">
                  <c:v>0.22376925711254148</c:v>
                </c:pt>
                <c:pt idx="10">
                  <c:v>0.22523480167845972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A9-4F29-B773-5361DAEFE9E4}"/>
            </c:ext>
          </c:extLst>
        </c:ser>
        <c:axId val="103918976"/>
        <c:axId val="137274496"/>
      </c:scatterChart>
      <c:valAx>
        <c:axId val="1039189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74496"/>
        <c:crosses val="autoZero"/>
        <c:crossBetween val="midCat"/>
      </c:valAx>
      <c:valAx>
        <c:axId val="1372744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91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Лист1!$D$17</c:f>
              <c:strCache>
                <c:ptCount val="1"/>
                <c:pt idx="0">
                  <c:v>J — Jст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Лист1!$B$19:$B$35</c:f>
              <c:numCache>
                <c:formatCode>#,##0.0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Лист1!$D$19:$D$35</c:f>
              <c:numCache>
                <c:formatCode>#,##0.000</c:formatCode>
                <c:ptCount val="17"/>
                <c:pt idx="0">
                  <c:v>0.22187862469485706</c:v>
                </c:pt>
                <c:pt idx="1">
                  <c:v>0.22187862469485706</c:v>
                </c:pt>
                <c:pt idx="2">
                  <c:v>0.22187862469485706</c:v>
                </c:pt>
                <c:pt idx="3">
                  <c:v>0.22187862469485706</c:v>
                </c:pt>
                <c:pt idx="4">
                  <c:v>0.22187862469485706</c:v>
                </c:pt>
                <c:pt idx="5">
                  <c:v>0.22187862469485706</c:v>
                </c:pt>
                <c:pt idx="6">
                  <c:v>0.22187862469485706</c:v>
                </c:pt>
                <c:pt idx="7">
                  <c:v>0.22187862469485706</c:v>
                </c:pt>
                <c:pt idx="8">
                  <c:v>0.22187862469485706</c:v>
                </c:pt>
                <c:pt idx="9">
                  <c:v>0.22187862469485706</c:v>
                </c:pt>
                <c:pt idx="10">
                  <c:v>0.22187862469485706</c:v>
                </c:pt>
                <c:pt idx="11">
                  <c:v>0.22187862469485706</c:v>
                </c:pt>
                <c:pt idx="12">
                  <c:v>0.22187862469485706</c:v>
                </c:pt>
                <c:pt idx="13">
                  <c:v>0.22187862469485706</c:v>
                </c:pt>
                <c:pt idx="14">
                  <c:v>0.22187862469485706</c:v>
                </c:pt>
                <c:pt idx="15">
                  <c:v>0.22187862469485706</c:v>
                </c:pt>
                <c:pt idx="16">
                  <c:v>0.22187862469485706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EF5-4096-B417-547560FFFC5B}"/>
            </c:ext>
          </c:extLst>
        </c:ser>
        <c:ser>
          <c:idx val="1"/>
          <c:order val="1"/>
          <c:tx>
            <c:strRef>
              <c:f>Лист1!$E$17</c:f>
              <c:strCache>
                <c:ptCount val="1"/>
                <c:pt idx="0">
                  <c:v>Jгр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Лист1!$B$19:$B$35</c:f>
              <c:numCache>
                <c:formatCode>#,##0.0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Лист1!$E$19:$E$35</c:f>
              <c:numCache>
                <c:formatCode>#,##0.000</c:formatCode>
                <c:ptCount val="17"/>
                <c:pt idx="0">
                  <c:v>0.10114514243719822</c:v>
                </c:pt>
                <c:pt idx="1">
                  <c:v>0.10973553397300526</c:v>
                </c:pt>
                <c:pt idx="2">
                  <c:v>0.11891763810621497</c:v>
                </c:pt>
                <c:pt idx="3">
                  <c:v>0.12869145483682715</c:v>
                </c:pt>
                <c:pt idx="4">
                  <c:v>0.13905698416484202</c:v>
                </c:pt>
                <c:pt idx="5">
                  <c:v>0.15001422609025938</c:v>
                </c:pt>
                <c:pt idx="6">
                  <c:v>0.16156318061307945</c:v>
                </c:pt>
                <c:pt idx="7">
                  <c:v>0.17370384773330211</c:v>
                </c:pt>
                <c:pt idx="8">
                  <c:v>0.18643622745092728</c:v>
                </c:pt>
                <c:pt idx="9">
                  <c:v>0.19976031976595515</c:v>
                </c:pt>
                <c:pt idx="10">
                  <c:v>0.21367612467838554</c:v>
                </c:pt>
                <c:pt idx="11">
                  <c:v>0.22818364218821857</c:v>
                </c:pt>
                <c:pt idx="12">
                  <c:v>0.2432828722954542</c:v>
                </c:pt>
                <c:pt idx="13">
                  <c:v>0.25897381500009231</c:v>
                </c:pt>
                <c:pt idx="14">
                  <c:v>0.27525647030213324</c:v>
                </c:pt>
                <c:pt idx="15">
                  <c:v>0.29213083820157654</c:v>
                </c:pt>
                <c:pt idx="16">
                  <c:v>0.30959691869842265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EF5-4096-B417-547560FFFC5B}"/>
            </c:ext>
          </c:extLst>
        </c:ser>
        <c:axId val="104039936"/>
        <c:axId val="104041472"/>
      </c:scatterChart>
      <c:valAx>
        <c:axId val="1040399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41472"/>
        <c:crosses val="autoZero"/>
        <c:crossBetween val="midCat"/>
      </c:valAx>
      <c:valAx>
        <c:axId val="1040414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3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spPr>
            <a:ln w="0">
              <a:solidFill>
                <a:srgbClr val="00458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dLblPos val="r"/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Лист2!$B$36:$B$46</c:f>
              <c:numCache>
                <c:formatCode>#,##0.0</c:formatCode>
                <c:ptCount val="11"/>
                <c:pt idx="0">
                  <c:v>17.5</c:v>
                </c:pt>
                <c:pt idx="1">
                  <c:v>17.600000000000001</c:v>
                </c:pt>
                <c:pt idx="2">
                  <c:v>17.700000000000003</c:v>
                </c:pt>
                <c:pt idx="3">
                  <c:v>17.800000000000004</c:v>
                </c:pt>
                <c:pt idx="4">
                  <c:v>17.900000000000006</c:v>
                </c:pt>
                <c:pt idx="5">
                  <c:v>18.000000000000007</c:v>
                </c:pt>
                <c:pt idx="6">
                  <c:v>18.100000000000009</c:v>
                </c:pt>
                <c:pt idx="7">
                  <c:v>18.20000000000001</c:v>
                </c:pt>
                <c:pt idx="8">
                  <c:v>18.300000000000011</c:v>
                </c:pt>
                <c:pt idx="9">
                  <c:v>18.400000000000013</c:v>
                </c:pt>
                <c:pt idx="10">
                  <c:v>18.500000000000014</c:v>
                </c:pt>
              </c:numCache>
            </c:numRef>
          </c:xVal>
          <c:yVal>
            <c:numRef>
              <c:f>Лист2!$H$36:$H$46</c:f>
              <c:numCache>
                <c:formatCode>#,##0.000</c:formatCode>
                <c:ptCount val="11"/>
                <c:pt idx="0">
                  <c:v>0.1848217140678447</c:v>
                </c:pt>
                <c:pt idx="1">
                  <c:v>0.18672205368742703</c:v>
                </c:pt>
                <c:pt idx="2">
                  <c:v>0.18863468015641355</c:v>
                </c:pt>
                <c:pt idx="3">
                  <c:v>0.19055959347480428</c:v>
                </c:pt>
                <c:pt idx="4">
                  <c:v>0.192496793642599</c:v>
                </c:pt>
                <c:pt idx="5">
                  <c:v>0.19444628065979816</c:v>
                </c:pt>
                <c:pt idx="6">
                  <c:v>0.1964080545264015</c:v>
                </c:pt>
                <c:pt idx="7">
                  <c:v>0.19838211524240906</c:v>
                </c:pt>
                <c:pt idx="8">
                  <c:v>0.20036846280782078</c:v>
                </c:pt>
                <c:pt idx="9">
                  <c:v>0.20236709722263674</c:v>
                </c:pt>
                <c:pt idx="10">
                  <c:v>0.20437801848685694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D241-4BEE-9B98-90FEB52C65E3}"/>
            </c:ext>
          </c:extLst>
        </c:ser>
        <c:ser>
          <c:idx val="1"/>
          <c:order val="1"/>
          <c:spPr>
            <a:ln w="0">
              <a:solidFill>
                <a:srgbClr val="FF420E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Лист2!$B$36:$B$46</c:f>
              <c:numCache>
                <c:formatCode>#,##0.0</c:formatCode>
                <c:ptCount val="11"/>
                <c:pt idx="0">
                  <c:v>17.5</c:v>
                </c:pt>
                <c:pt idx="1">
                  <c:v>17.600000000000001</c:v>
                </c:pt>
                <c:pt idx="2">
                  <c:v>17.700000000000003</c:v>
                </c:pt>
                <c:pt idx="3">
                  <c:v>17.800000000000004</c:v>
                </c:pt>
                <c:pt idx="4">
                  <c:v>17.900000000000006</c:v>
                </c:pt>
                <c:pt idx="5">
                  <c:v>18.000000000000007</c:v>
                </c:pt>
                <c:pt idx="6">
                  <c:v>18.100000000000009</c:v>
                </c:pt>
                <c:pt idx="7">
                  <c:v>18.20000000000001</c:v>
                </c:pt>
                <c:pt idx="8">
                  <c:v>18.300000000000011</c:v>
                </c:pt>
                <c:pt idx="9">
                  <c:v>18.400000000000013</c:v>
                </c:pt>
                <c:pt idx="10">
                  <c:v>18.500000000000014</c:v>
                </c:pt>
              </c:numCache>
            </c:numRef>
          </c:xVal>
          <c:yVal>
            <c:numRef>
              <c:f>Лист2!$G$36:$G$46</c:f>
              <c:numCache>
                <c:formatCode>#,##0.000</c:formatCode>
                <c:ptCount val="11"/>
                <c:pt idx="0">
                  <c:v>0.19130121127199995</c:v>
                </c:pt>
                <c:pt idx="1">
                  <c:v>0.19263119667200004</c:v>
                </c:pt>
                <c:pt idx="2">
                  <c:v>0.19395060967200001</c:v>
                </c:pt>
                <c:pt idx="3">
                  <c:v>0.19525945027200003</c:v>
                </c:pt>
                <c:pt idx="4">
                  <c:v>0.19655771847200004</c:v>
                </c:pt>
                <c:pt idx="5">
                  <c:v>0.19784541427200009</c:v>
                </c:pt>
                <c:pt idx="6">
                  <c:v>0.19912253767200014</c:v>
                </c:pt>
                <c:pt idx="7">
                  <c:v>0.20038908867200012</c:v>
                </c:pt>
                <c:pt idx="8">
                  <c:v>0.20164506727200016</c:v>
                </c:pt>
                <c:pt idx="9">
                  <c:v>0.20289047347200018</c:v>
                </c:pt>
                <c:pt idx="10">
                  <c:v>0.20412530727200015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D241-4BEE-9B98-90FEB52C65E3}"/>
            </c:ext>
          </c:extLst>
        </c:ser>
        <c:axId val="103993728"/>
        <c:axId val="103995264"/>
      </c:scatterChart>
      <c:valAx>
        <c:axId val="103993728"/>
        <c:scaling>
          <c:orientation val="minMax"/>
        </c:scaling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#,##0.0" sourceLinked="0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03995264"/>
        <c:crossesAt val="0"/>
        <c:crossBetween val="midCat"/>
      </c:valAx>
      <c:valAx>
        <c:axId val="103995264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" sourceLinked="0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03993728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Лист2!$H$9:$H$9</c:f>
              <c:strCache>
                <c:ptCount val="1"/>
                <c:pt idx="0">
                  <c:v>Jгр</c:v>
                </c:pt>
              </c:strCache>
            </c:strRef>
          </c:tx>
          <c:spPr>
            <a:ln w="0">
              <a:solidFill>
                <a:srgbClr val="00458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Лист2!$B$10:$B$31</c:f>
              <c:numCache>
                <c:formatCode>#,##0.0</c:formatCode>
                <c:ptCount val="2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</c:numCache>
            </c:numRef>
          </c:xVal>
          <c:yVal>
            <c:numRef>
              <c:f>Лист2!$H$10:$H$31</c:f>
              <c:numCache>
                <c:formatCode>#,##0.000</c:formatCode>
                <c:ptCount val="22"/>
                <c:pt idx="0">
                  <c:v>5.3662370946101483E-2</c:v>
                </c:pt>
                <c:pt idx="1">
                  <c:v>6.031748349069916E-2</c:v>
                </c:pt>
                <c:pt idx="2">
                  <c:v>6.8201280975717232E-2</c:v>
                </c:pt>
                <c:pt idx="3">
                  <c:v>7.7313763401155713E-2</c:v>
                </c:pt>
                <c:pt idx="4">
                  <c:v>8.7654930767014583E-2</c:v>
                </c:pt>
                <c:pt idx="5">
                  <c:v>9.9224783073293882E-2</c:v>
                </c:pt>
                <c:pt idx="6">
                  <c:v>0.11202332031999361</c:v>
                </c:pt>
                <c:pt idx="7">
                  <c:v>0.12605054250711367</c:v>
                </c:pt>
                <c:pt idx="8">
                  <c:v>0.14130644963465416</c:v>
                </c:pt>
                <c:pt idx="9">
                  <c:v>0.15779104170261507</c:v>
                </c:pt>
                <c:pt idx="10">
                  <c:v>0.17550431871099639</c:v>
                </c:pt>
                <c:pt idx="11">
                  <c:v>0.1944462806597981</c:v>
                </c:pt>
                <c:pt idx="12">
                  <c:v>0.2146169275490202</c:v>
                </c:pt>
                <c:pt idx="13">
                  <c:v>0.2360162593786628</c:v>
                </c:pt>
                <c:pt idx="14">
                  <c:v>0.25864427614872554</c:v>
                </c:pt>
                <c:pt idx="15">
                  <c:v>0.2825009778592088</c:v>
                </c:pt>
                <c:pt idx="16">
                  <c:v>0.30758636451011256</c:v>
                </c:pt>
                <c:pt idx="17">
                  <c:v>0.33390043610143672</c:v>
                </c:pt>
                <c:pt idx="18">
                  <c:v>0.36144319263318125</c:v>
                </c:pt>
                <c:pt idx="19">
                  <c:v>0.39021463410534624</c:v>
                </c:pt>
                <c:pt idx="20">
                  <c:v>0.42021476051793155</c:v>
                </c:pt>
                <c:pt idx="21">
                  <c:v>0.45144357187093737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090F-4277-BE8B-02885869D15F}"/>
            </c:ext>
          </c:extLst>
        </c:ser>
        <c:ser>
          <c:idx val="1"/>
          <c:order val="1"/>
          <c:tx>
            <c:strRef>
              <c:f>Лист2!$G$9:$G$9</c:f>
              <c:strCache>
                <c:ptCount val="1"/>
                <c:pt idx="0">
                  <c:v>J0 — Jст</c:v>
                </c:pt>
              </c:strCache>
            </c:strRef>
          </c:tx>
          <c:spPr>
            <a:ln w="0">
              <a:solidFill>
                <a:srgbClr val="FF420E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Лист2!$B$10:$B$31</c:f>
              <c:numCache>
                <c:formatCode>#,##0.0</c:formatCode>
                <c:ptCount val="2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</c:numCache>
            </c:numRef>
          </c:xVal>
          <c:yVal>
            <c:numRef>
              <c:f>Лист2!$G$10:$G$31</c:f>
              <c:numCache>
                <c:formatCode>#,##0.000</c:formatCode>
                <c:ptCount val="22"/>
                <c:pt idx="0">
                  <c:v>-7.1826617280000005E-3</c:v>
                </c:pt>
                <c:pt idx="1">
                  <c:v>1.6742454272000024E-2</c:v>
                </c:pt>
                <c:pt idx="2">
                  <c:v>3.9610330272000005E-2</c:v>
                </c:pt>
                <c:pt idx="3">
                  <c:v>6.1420966272000027E-2</c:v>
                </c:pt>
                <c:pt idx="4">
                  <c:v>8.2174362272000007E-2</c:v>
                </c:pt>
                <c:pt idx="5">
                  <c:v>0.101870518272</c:v>
                </c:pt>
                <c:pt idx="6">
                  <c:v>0.12050943427199998</c:v>
                </c:pt>
                <c:pt idx="7">
                  <c:v>0.13809111027199999</c:v>
                </c:pt>
                <c:pt idx="8">
                  <c:v>0.15461554627200003</c:v>
                </c:pt>
                <c:pt idx="9">
                  <c:v>0.17008274227199999</c:v>
                </c:pt>
                <c:pt idx="10">
                  <c:v>0.18449269827200002</c:v>
                </c:pt>
                <c:pt idx="11">
                  <c:v>0.19784541427200006</c:v>
                </c:pt>
                <c:pt idx="12">
                  <c:v>0.21014089027199995</c:v>
                </c:pt>
                <c:pt idx="13">
                  <c:v>0.22137912627199999</c:v>
                </c:pt>
                <c:pt idx="14">
                  <c:v>0.23156012227200001</c:v>
                </c:pt>
                <c:pt idx="15">
                  <c:v>0.24068387827199994</c:v>
                </c:pt>
                <c:pt idx="16">
                  <c:v>0.24875039427199999</c:v>
                </c:pt>
                <c:pt idx="17">
                  <c:v>0.25575967027199997</c:v>
                </c:pt>
                <c:pt idx="18">
                  <c:v>0.26171170627200002</c:v>
                </c:pt>
                <c:pt idx="19">
                  <c:v>0.266606502272</c:v>
                </c:pt>
                <c:pt idx="20">
                  <c:v>0.27044405827200002</c:v>
                </c:pt>
                <c:pt idx="21">
                  <c:v>0.27322437427199997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090F-4277-BE8B-02885869D15F}"/>
            </c:ext>
          </c:extLst>
        </c:ser>
        <c:axId val="104366080"/>
        <c:axId val="104368000"/>
      </c:scatterChart>
      <c:valAx>
        <c:axId val="104366080"/>
        <c:scaling>
          <c:orientation val="minMax"/>
        </c:scaling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L2, </a:t>
                </a:r>
                <a:r>
                  <a:rPr lang="ru-RU" sz="900" b="0" strike="noStrike" spc="-1">
                    <a:latin typeface="Arial"/>
                  </a:rPr>
                  <a:t>см</a:t>
                </a:r>
              </a:p>
            </c:rich>
          </c:tx>
          <c:spPr>
            <a:noFill/>
            <a:ln w="0">
              <a:noFill/>
            </a:ln>
          </c:spPr>
        </c:title>
        <c:numFmt formatCode="#,##0.0" sourceLinked="1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04368000"/>
        <c:crossesAt val="0"/>
        <c:crossBetween val="midCat"/>
      </c:valAx>
      <c:valAx>
        <c:axId val="104368000"/>
        <c:scaling>
          <c:orientation val="minMax"/>
          <c:min val="0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" sourceLinked="1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0436608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2501563477173201"/>
          <c:y val="0.34318706697459611"/>
          <c:w val="0.16185115697310795"/>
          <c:h val="0.20739030023094701"/>
        </c:manualLayout>
      </c:layout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ru-RU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Лист3!$E$2</c:f>
              <c:strCache>
                <c:ptCount val="1"/>
                <c:pt idx="0">
                  <c:v>J0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dLblPos val="r"/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Лист3!$B$3:$B$32</c:f>
              <c:numCache>
                <c:formatCode>#,##0.0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Лист3!$E$3:$E$32</c:f>
              <c:numCache>
                <c:formatCode>#,##0.000</c:formatCode>
                <c:ptCount val="30"/>
                <c:pt idx="0">
                  <c:v>2.4411855999999999E-2</c:v>
                </c:pt>
                <c:pt idx="1">
                  <c:v>4.7997312E-2</c:v>
                </c:pt>
                <c:pt idx="2">
                  <c:v>7.0756368E-2</c:v>
                </c:pt>
                <c:pt idx="3">
                  <c:v>9.2689023999999995E-2</c:v>
                </c:pt>
                <c:pt idx="4">
                  <c:v>0.11379528</c:v>
                </c:pt>
                <c:pt idx="5">
                  <c:v>0.13407513599999998</c:v>
                </c:pt>
                <c:pt idx="6">
                  <c:v>0.15352859199999999</c:v>
                </c:pt>
                <c:pt idx="7">
                  <c:v>0.17215564799999999</c:v>
                </c:pt>
                <c:pt idx="8">
                  <c:v>0.18995630399999999</c:v>
                </c:pt>
                <c:pt idx="9">
                  <c:v>0.20693055999999999</c:v>
                </c:pt>
                <c:pt idx="10">
                  <c:v>0.223078416</c:v>
                </c:pt>
                <c:pt idx="11">
                  <c:v>0.23839987199999998</c:v>
                </c:pt>
                <c:pt idx="12">
                  <c:v>0.25289492799999996</c:v>
                </c:pt>
                <c:pt idx="13">
                  <c:v>0.26656358399999996</c:v>
                </c:pt>
                <c:pt idx="14">
                  <c:v>0.27940584000000002</c:v>
                </c:pt>
                <c:pt idx="15">
                  <c:v>0.29142169600000001</c:v>
                </c:pt>
                <c:pt idx="16">
                  <c:v>0.30261115199999999</c:v>
                </c:pt>
                <c:pt idx="17">
                  <c:v>0.31297420800000003</c:v>
                </c:pt>
                <c:pt idx="18">
                  <c:v>0.32251086399999995</c:v>
                </c:pt>
                <c:pt idx="19">
                  <c:v>0.33122111999999998</c:v>
                </c:pt>
                <c:pt idx="20">
                  <c:v>0.339104976</c:v>
                </c:pt>
                <c:pt idx="21">
                  <c:v>0.34616243199999996</c:v>
                </c:pt>
                <c:pt idx="22">
                  <c:v>0.35239348799999998</c:v>
                </c:pt>
                <c:pt idx="23">
                  <c:v>0.35779814399999998</c:v>
                </c:pt>
                <c:pt idx="24">
                  <c:v>0.36237639999999999</c:v>
                </c:pt>
                <c:pt idx="25">
                  <c:v>0.36612825599999999</c:v>
                </c:pt>
                <c:pt idx="26">
                  <c:v>0.36905371199999998</c:v>
                </c:pt>
                <c:pt idx="27">
                  <c:v>0.37115276799999997</c:v>
                </c:pt>
                <c:pt idx="28">
                  <c:v>0.37242542399999995</c:v>
                </c:pt>
                <c:pt idx="29">
                  <c:v>0.37287167999999998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72AE-43CE-964D-CC4B3F144734}"/>
            </c:ext>
          </c:extLst>
        </c:ser>
        <c:ser>
          <c:idx val="1"/>
          <c:order val="1"/>
          <c:tx>
            <c:strRef>
              <c:f>Лист3!$H$2:$H$2</c:f>
              <c:strCache>
                <c:ptCount val="1"/>
                <c:pt idx="0">
                  <c:v>Jст + Jгр(min)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dLblPos val="r"/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Лист3!$B$3:$B$32</c:f>
              <c:numCache>
                <c:formatCode>#,##0.0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Лист3!$H$3:$H$32</c:f>
              <c:numCache>
                <c:formatCode>#,##0.000</c:formatCode>
                <c:ptCount val="30"/>
                <c:pt idx="0">
                  <c:v>0.19749566372799998</c:v>
                </c:pt>
                <c:pt idx="1">
                  <c:v>0.19125779372799998</c:v>
                </c:pt>
                <c:pt idx="2">
                  <c:v>0.18554758372799995</c:v>
                </c:pt>
                <c:pt idx="3">
                  <c:v>0.18036503372799997</c:v>
                </c:pt>
                <c:pt idx="4">
                  <c:v>0.17571014372799998</c:v>
                </c:pt>
                <c:pt idx="5">
                  <c:v>0.171582913728</c:v>
                </c:pt>
                <c:pt idx="6">
                  <c:v>0.167983343728</c:v>
                </c:pt>
                <c:pt idx="7">
                  <c:v>0.16491143372799996</c:v>
                </c:pt>
                <c:pt idx="8">
                  <c:v>0.16236718372799999</c:v>
                </c:pt>
                <c:pt idx="9">
                  <c:v>0.16035059372799995</c:v>
                </c:pt>
                <c:pt idx="10">
                  <c:v>0.15886166372799998</c:v>
                </c:pt>
                <c:pt idx="11">
                  <c:v>0.15790039372799999</c:v>
                </c:pt>
                <c:pt idx="12">
                  <c:v>0.15746678372799999</c:v>
                </c:pt>
                <c:pt idx="13">
                  <c:v>0.15756083372799998</c:v>
                </c:pt>
                <c:pt idx="14">
                  <c:v>0.158182543728</c:v>
                </c:pt>
                <c:pt idx="15">
                  <c:v>0.15933191372800001</c:v>
                </c:pt>
                <c:pt idx="16">
                  <c:v>0.16100894372799998</c:v>
                </c:pt>
                <c:pt idx="17">
                  <c:v>0.16321363372799996</c:v>
                </c:pt>
                <c:pt idx="18">
                  <c:v>0.16594598372800001</c:v>
                </c:pt>
                <c:pt idx="19">
                  <c:v>0.16920599372799999</c:v>
                </c:pt>
                <c:pt idx="20">
                  <c:v>0.17299366372800001</c:v>
                </c:pt>
                <c:pt idx="21">
                  <c:v>0.17730899372800002</c:v>
                </c:pt>
                <c:pt idx="22">
                  <c:v>0.18215198372799996</c:v>
                </c:pt>
                <c:pt idx="23">
                  <c:v>0.18752263372799999</c:v>
                </c:pt>
                <c:pt idx="24">
                  <c:v>0.19342094372800001</c:v>
                </c:pt>
                <c:pt idx="25">
                  <c:v>0.19984691372800001</c:v>
                </c:pt>
                <c:pt idx="26">
                  <c:v>0.20680054372799997</c:v>
                </c:pt>
                <c:pt idx="27">
                  <c:v>0.21428183372799997</c:v>
                </c:pt>
                <c:pt idx="28">
                  <c:v>0.22229078372799999</c:v>
                </c:pt>
                <c:pt idx="29">
                  <c:v>0.23082739372799999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72AE-43CE-964D-CC4B3F144734}"/>
            </c:ext>
          </c:extLst>
        </c:ser>
        <c:axId val="111142400"/>
        <c:axId val="111143936"/>
      </c:scatterChart>
      <c:valAx>
        <c:axId val="111142400"/>
        <c:scaling>
          <c:orientation val="minMax"/>
          <c:max val="30"/>
        </c:scaling>
        <c:axPos val="b"/>
        <c:numFmt formatCode="#,##0.0" sourceLinked="0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11143936"/>
        <c:crosses val="autoZero"/>
        <c:crossBetween val="midCat"/>
      </c:valAx>
      <c:valAx>
        <c:axId val="111143936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" sourceLinked="0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111424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ru-RU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36</xdr:row>
      <xdr:rowOff>3810</xdr:rowOff>
    </xdr:from>
    <xdr:to>
      <xdr:col>10</xdr:col>
      <xdr:colOff>777240</xdr:colOff>
      <xdr:row>55</xdr:row>
      <xdr:rowOff>68580</xdr:rowOff>
    </xdr:to>
    <xdr:graphicFrame macro="">
      <xdr:nvGraphicFramePr>
        <xdr:cNvPr id="5" name="Диаграмма 4">
          <a:extLst>
            <a:ext uri="{FF2B5EF4-FFF2-40B4-BE49-F238E27FC236}">
              <a16:creationId xmlns="" xmlns:a16="http://schemas.microsoft.com/office/drawing/2014/main" id="{2EA60BC4-C983-4D43-86F9-0CAEEE232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137160</xdr:colOff>
      <xdr:row>15</xdr:row>
      <xdr:rowOff>22860</xdr:rowOff>
    </xdr:from>
    <xdr:to>
      <xdr:col>11</xdr:col>
      <xdr:colOff>716280</xdr:colOff>
      <xdr:row>35</xdr:row>
      <xdr:rowOff>167640</xdr:rowOff>
    </xdr:to>
    <xdr:graphicFrame macro="">
      <xdr:nvGraphicFramePr>
        <xdr:cNvPr id="6" name="Диаграмма 5">
          <a:extLst>
            <a:ext uri="{FF2B5EF4-FFF2-40B4-BE49-F238E27FC236}">
              <a16:creationId xmlns="" xmlns:a16="http://schemas.microsoft.com/office/drawing/2014/main" id="{2319BA84-F8DE-4E96-9355-012E36599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34200</xdr:colOff>
      <xdr:row>32</xdr:row>
      <xdr:rowOff>26280</xdr:rowOff>
    </xdr:from>
    <xdr:to>
      <xdr:col>14</xdr:col>
      <xdr:colOff>134640</xdr:colOff>
      <xdr:row>54</xdr:row>
      <xdr:rowOff>86400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30960</xdr:colOff>
      <xdr:row>6</xdr:row>
      <xdr:rowOff>28800</xdr:rowOff>
    </xdr:from>
    <xdr:to>
      <xdr:col>15</xdr:col>
      <xdr:colOff>270360</xdr:colOff>
      <xdr:row>31</xdr:row>
      <xdr:rowOff>155520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17640</xdr:colOff>
      <xdr:row>17</xdr:row>
      <xdr:rowOff>0</xdr:rowOff>
    </xdr:from>
    <xdr:to>
      <xdr:col>10</xdr:col>
      <xdr:colOff>620280</xdr:colOff>
      <xdr:row>41</xdr:row>
      <xdr:rowOff>66240</xdr:rowOff>
    </xdr:to>
    <xdr:sp macro="" textlink="">
      <xdr:nvSpPr>
        <xdr:cNvPr id="4" name="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/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401040</xdr:colOff>
      <xdr:row>1</xdr:row>
      <xdr:rowOff>132840</xdr:rowOff>
    </xdr:from>
    <xdr:to>
      <xdr:col>14</xdr:col>
      <xdr:colOff>766800</xdr:colOff>
      <xdr:row>22</xdr:row>
      <xdr:rowOff>67320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86"/>
  <sheetViews>
    <sheetView tabSelected="1" topLeftCell="A7" zoomScale="70" zoomScaleNormal="70" workbookViewId="0">
      <selection activeCell="T16" sqref="T16"/>
    </sheetView>
  </sheetViews>
  <sheetFormatPr defaultColWidth="11.54296875" defaultRowHeight="13"/>
  <cols>
    <col min="1" max="1" width="22" style="1" customWidth="1"/>
    <col min="2" max="2" width="11" style="1" customWidth="1"/>
    <col min="3" max="1024" width="11.54296875" style="1"/>
  </cols>
  <sheetData>
    <row r="1" spans="1:20" ht="15.5">
      <c r="A1" s="96" t="s">
        <v>0</v>
      </c>
      <c r="B1" s="96"/>
      <c r="C1" s="96"/>
      <c r="D1" s="96"/>
      <c r="E1" s="96"/>
      <c r="F1" s="96"/>
      <c r="G1" s="2"/>
      <c r="N1" s="1" t="s">
        <v>46</v>
      </c>
      <c r="O1" s="1" t="s">
        <v>48</v>
      </c>
      <c r="P1" s="1" t="s">
        <v>49</v>
      </c>
      <c r="R1" s="1" t="s">
        <v>47</v>
      </c>
      <c r="S1" s="1" t="s">
        <v>48</v>
      </c>
      <c r="T1" s="1" t="s">
        <v>49</v>
      </c>
    </row>
    <row r="2" spans="1:20" ht="15.5">
      <c r="A2" s="3" t="s">
        <v>1</v>
      </c>
      <c r="B2" s="4">
        <v>1018.8</v>
      </c>
      <c r="C2" s="5" t="s">
        <v>2</v>
      </c>
      <c r="D2" s="6" t="s">
        <v>3</v>
      </c>
      <c r="E2" s="7">
        <v>2.5</v>
      </c>
      <c r="F2" s="5"/>
      <c r="G2" s="26"/>
      <c r="M2" s="1" t="s">
        <v>50</v>
      </c>
      <c r="N2" s="1">
        <v>31.64</v>
      </c>
      <c r="O2" s="1">
        <v>20</v>
      </c>
      <c r="P2" s="1">
        <f>N2/O2</f>
        <v>1.5820000000000001</v>
      </c>
      <c r="Q2" s="1" t="s">
        <v>50</v>
      </c>
      <c r="R2" s="1">
        <v>32.159999999999997</v>
      </c>
      <c r="S2" s="1">
        <v>20</v>
      </c>
      <c r="T2" s="1">
        <f>R2/S2</f>
        <v>1.6079999999999999</v>
      </c>
    </row>
    <row r="3" spans="1:20" ht="15.5">
      <c r="A3" s="8" t="s">
        <v>4</v>
      </c>
      <c r="B3" s="9">
        <v>75.599999999999994</v>
      </c>
      <c r="C3" s="10" t="s">
        <v>2</v>
      </c>
      <c r="D3" s="11" t="s">
        <v>5</v>
      </c>
      <c r="E3" s="12">
        <f>Lпр/(1/Lambda+1)</f>
        <v>42.914285714285718</v>
      </c>
      <c r="F3" s="10" t="s">
        <v>6</v>
      </c>
      <c r="G3" s="2">
        <v>16.5</v>
      </c>
      <c r="M3" s="1" t="s">
        <v>50</v>
      </c>
      <c r="N3" s="1">
        <v>31.64</v>
      </c>
      <c r="O3" s="1">
        <v>20</v>
      </c>
      <c r="P3" s="1">
        <f t="shared" ref="P3:P7" si="0">N3/O3</f>
        <v>1.5820000000000001</v>
      </c>
      <c r="Q3" s="1" t="s">
        <v>50</v>
      </c>
      <c r="R3" s="1">
        <v>32.15</v>
      </c>
      <c r="S3" s="1">
        <v>20</v>
      </c>
      <c r="T3" s="1">
        <f t="shared" ref="T3:T7" si="1">R3/S3</f>
        <v>1.6074999999999999</v>
      </c>
    </row>
    <row r="4" spans="1:20" ht="15.5">
      <c r="A4" s="8" t="s">
        <v>7</v>
      </c>
      <c r="B4" s="9">
        <v>59.8</v>
      </c>
      <c r="C4" s="10" t="s">
        <v>2</v>
      </c>
      <c r="D4" s="13" t="s">
        <v>8</v>
      </c>
      <c r="E4" s="14">
        <f>Lпр - L_1</f>
        <v>17.16571428571428</v>
      </c>
      <c r="F4" s="15" t="s">
        <v>6</v>
      </c>
      <c r="G4" s="2">
        <f>60-G3</f>
        <v>43.5</v>
      </c>
      <c r="M4" s="1" t="s">
        <v>50</v>
      </c>
      <c r="N4" s="1">
        <v>31.61</v>
      </c>
      <c r="O4" s="1">
        <v>20</v>
      </c>
      <c r="P4" s="1">
        <f t="shared" si="0"/>
        <v>1.5805</v>
      </c>
      <c r="Q4" s="1" t="s">
        <v>50</v>
      </c>
      <c r="R4" s="1">
        <v>32.15</v>
      </c>
      <c r="S4" s="1">
        <v>20</v>
      </c>
      <c r="T4" s="1">
        <f t="shared" si="1"/>
        <v>1.6074999999999999</v>
      </c>
    </row>
    <row r="5" spans="1:20" ht="15.5">
      <c r="A5" s="8" t="s">
        <v>9</v>
      </c>
      <c r="B5" s="9">
        <v>1493.8</v>
      </c>
      <c r="C5" s="10" t="s">
        <v>2</v>
      </c>
      <c r="D5" s="16"/>
      <c r="E5" s="16"/>
      <c r="F5" s="16"/>
      <c r="G5" s="2"/>
      <c r="M5" s="1" t="s">
        <v>50</v>
      </c>
      <c r="N5" s="1">
        <v>31.65</v>
      </c>
      <c r="O5" s="1">
        <v>20</v>
      </c>
      <c r="P5" s="1">
        <f t="shared" si="0"/>
        <v>1.5825</v>
      </c>
      <c r="Q5" s="1" t="s">
        <v>50</v>
      </c>
      <c r="R5" s="1">
        <v>32.17</v>
      </c>
      <c r="S5" s="1">
        <v>20</v>
      </c>
      <c r="T5" s="1">
        <f t="shared" si="1"/>
        <v>1.6085</v>
      </c>
    </row>
    <row r="6" spans="1:20" ht="15.5">
      <c r="A6" s="17" t="s">
        <v>10</v>
      </c>
      <c r="B6" s="18">
        <v>1484.1</v>
      </c>
      <c r="C6" s="15" t="s">
        <v>2</v>
      </c>
      <c r="D6" s="16"/>
      <c r="E6" s="16"/>
      <c r="F6" s="16"/>
      <c r="G6" s="2"/>
      <c r="P6" s="1">
        <f>SUM(N2:N5)/80</f>
        <v>1.58175</v>
      </c>
      <c r="T6" s="1">
        <f>(SUM(R2:R5)/80)</f>
        <v>1.6078749999999999</v>
      </c>
    </row>
    <row r="7" spans="1:20" ht="31">
      <c r="A7" s="19" t="s">
        <v>11</v>
      </c>
      <c r="B7" s="20">
        <f>Mст + Mпр + Mпр2 + M_1 + M_2</f>
        <v>4132.1000000000004</v>
      </c>
      <c r="C7" s="5" t="s">
        <v>2</v>
      </c>
      <c r="D7" s="16"/>
      <c r="E7" s="16"/>
      <c r="F7" s="16"/>
      <c r="G7" s="2"/>
      <c r="M7" s="1" t="s">
        <v>51</v>
      </c>
      <c r="N7" s="1">
        <v>31.58</v>
      </c>
      <c r="O7" s="1">
        <v>20</v>
      </c>
      <c r="P7" s="1">
        <f t="shared" si="0"/>
        <v>1.579</v>
      </c>
      <c r="R7" s="1">
        <v>32.07</v>
      </c>
      <c r="S7" s="1">
        <v>20</v>
      </c>
      <c r="T7" s="1">
        <f t="shared" si="1"/>
        <v>1.6034999999999999</v>
      </c>
    </row>
    <row r="8" spans="1:20" ht="31">
      <c r="A8" s="21" t="s">
        <v>12</v>
      </c>
      <c r="B8" s="18">
        <v>4132</v>
      </c>
      <c r="C8" s="15" t="s">
        <v>2</v>
      </c>
      <c r="D8" s="16"/>
      <c r="E8" s="16"/>
      <c r="F8" s="16"/>
      <c r="G8" s="2"/>
      <c r="M8" s="1" t="s">
        <v>52</v>
      </c>
      <c r="N8" s="1">
        <v>36.26</v>
      </c>
      <c r="O8" s="1">
        <v>23</v>
      </c>
      <c r="P8" s="1">
        <f t="shared" ref="P8:P10" si="2">N8/O8</f>
        <v>1.5765217391304347</v>
      </c>
      <c r="R8" s="1">
        <v>32</v>
      </c>
      <c r="S8" s="1">
        <v>20</v>
      </c>
      <c r="T8" s="1">
        <f>R8/S8</f>
        <v>1.6</v>
      </c>
    </row>
    <row r="9" spans="1:20" ht="15.5">
      <c r="A9" s="3" t="s">
        <v>13</v>
      </c>
      <c r="B9" s="4">
        <v>100.08</v>
      </c>
      <c r="C9" s="5" t="s">
        <v>6</v>
      </c>
      <c r="D9" s="16"/>
      <c r="E9" s="16"/>
      <c r="F9"/>
      <c r="G9"/>
      <c r="H9"/>
      <c r="M9" s="1" t="s">
        <v>52</v>
      </c>
      <c r="N9" s="1">
        <v>31.54</v>
      </c>
      <c r="O9" s="1">
        <v>20</v>
      </c>
      <c r="P9" s="1">
        <f t="shared" si="2"/>
        <v>1.577</v>
      </c>
      <c r="R9" s="1">
        <v>31.99</v>
      </c>
      <c r="S9" s="1">
        <v>20</v>
      </c>
      <c r="T9" s="1">
        <f>R9/S9</f>
        <v>1.5994999999999999</v>
      </c>
    </row>
    <row r="10" spans="1:20" ht="31">
      <c r="A10" s="21" t="s">
        <v>14</v>
      </c>
      <c r="B10" s="18">
        <v>60.08</v>
      </c>
      <c r="C10" s="15" t="s">
        <v>6</v>
      </c>
      <c r="D10" s="16"/>
      <c r="E10" s="16"/>
      <c r="F10"/>
      <c r="G10"/>
      <c r="H10">
        <f>4*3.14159*3.14159*((G3*G3-G4*G4)/(G4*P15*P15-G3*T15*T15))/100</f>
        <v>-9.7988319953998797</v>
      </c>
      <c r="I10" s="1">
        <f>4*3.14159*3.14159*0.6/(P13*P13)</f>
        <v>9.5258107058458492</v>
      </c>
      <c r="M10" s="1" t="s">
        <v>52</v>
      </c>
      <c r="N10" s="1">
        <v>31.53</v>
      </c>
      <c r="O10" s="1">
        <v>20</v>
      </c>
      <c r="P10" s="1">
        <f t="shared" si="2"/>
        <v>1.5765</v>
      </c>
      <c r="R10" s="1">
        <v>32</v>
      </c>
      <c r="S10" s="1">
        <v>20</v>
      </c>
      <c r="T10" s="1">
        <f>R10/S10</f>
        <v>1.6</v>
      </c>
    </row>
    <row r="11" spans="1:20" ht="15.5">
      <c r="A11" s="22"/>
      <c r="B11" s="2"/>
      <c r="C11" s="2"/>
      <c r="D11" s="2"/>
      <c r="E11" s="2"/>
      <c r="F11" s="2"/>
      <c r="G11" s="2"/>
      <c r="P11" s="1">
        <f>SUM(P8:P10)/3</f>
        <v>1.5766739130434784</v>
      </c>
      <c r="R11" s="1">
        <f>(T11-P11)/T11*100</f>
        <v>1.4476145612994105</v>
      </c>
      <c r="T11" s="1">
        <f>SUM(T8:T10)/3</f>
        <v>1.5998333333333334</v>
      </c>
    </row>
    <row r="12" spans="1:20" ht="15.5">
      <c r="A12" s="23" t="s">
        <v>15</v>
      </c>
      <c r="B12" s="24"/>
      <c r="C12" s="25"/>
      <c r="D12" s="26"/>
      <c r="E12" s="2"/>
      <c r="F12" s="2"/>
      <c r="G12" s="2"/>
      <c r="R12" s="1" t="s">
        <v>53</v>
      </c>
    </row>
    <row r="13" spans="1:20" ht="31">
      <c r="A13" s="19" t="s">
        <v>16</v>
      </c>
      <c r="B13" s="27">
        <f>(Mст * (Lст^2/12 + (Lпр/2)^2) + Mпр * Lпр^2)/10000000</f>
        <v>0.20426119372799997</v>
      </c>
      <c r="C13" s="28" t="s">
        <v>17</v>
      </c>
      <c r="D13" s="2"/>
      <c r="E13" s="2"/>
      <c r="F13" s="2"/>
      <c r="G13" s="2"/>
      <c r="N13" s="1">
        <v>473.07</v>
      </c>
      <c r="O13" s="1">
        <v>300</v>
      </c>
      <c r="P13" s="1">
        <f t="shared" ref="P13" si="3">N13/O13</f>
        <v>1.5769</v>
      </c>
      <c r="R13" s="1">
        <v>479.77</v>
      </c>
      <c r="S13" s="1">
        <v>300</v>
      </c>
      <c r="T13" s="1">
        <f t="shared" ref="T13" si="4">R13/S13</f>
        <v>1.5992333333333333</v>
      </c>
    </row>
    <row r="14" spans="1:20" ht="31">
      <c r="A14" s="21" t="s">
        <v>18</v>
      </c>
      <c r="B14" s="29">
        <f>(Mполн * Lпр * L_2)/10000000</f>
        <v>0.42613981842285703</v>
      </c>
      <c r="C14" s="30" t="s">
        <v>17</v>
      </c>
      <c r="D14" s="2"/>
      <c r="E14" s="2"/>
      <c r="F14" s="2"/>
      <c r="G14" s="2"/>
    </row>
    <row r="15" spans="1:20" ht="15.5">
      <c r="A15"/>
      <c r="B15"/>
      <c r="C15"/>
      <c r="D15" s="2"/>
      <c r="E15" s="2"/>
      <c r="F15" s="2"/>
      <c r="G15" s="2"/>
      <c r="N15" s="1">
        <v>31.12</v>
      </c>
      <c r="O15" s="1">
        <v>20</v>
      </c>
      <c r="P15" s="1">
        <f t="shared" ref="P15" si="5">N15/O15</f>
        <v>1.556</v>
      </c>
      <c r="Q15" s="1">
        <f>(T15-P15)/T15*100</f>
        <v>0.12836970474967918</v>
      </c>
      <c r="R15" s="1">
        <v>31.16</v>
      </c>
      <c r="S15" s="1">
        <v>20</v>
      </c>
      <c r="T15" s="1">
        <f t="shared" ref="T15:T16" si="6">R15/S15</f>
        <v>1.5580000000000001</v>
      </c>
    </row>
    <row r="16" spans="1:20" ht="25.4" customHeight="1">
      <c r="A16" s="97" t="s">
        <v>19</v>
      </c>
      <c r="B16" s="97"/>
      <c r="C16" s="97"/>
      <c r="D16" s="97"/>
      <c r="E16" s="97"/>
      <c r="F16" s="31"/>
      <c r="G16" s="2"/>
      <c r="N16" s="1">
        <f>N15*15</f>
        <v>466.8</v>
      </c>
      <c r="O16" s="1">
        <v>300</v>
      </c>
      <c r="P16" s="1">
        <f t="shared" ref="P16" si="7">N16/O16</f>
        <v>1.556</v>
      </c>
      <c r="R16" s="1">
        <f>R15*15</f>
        <v>467.4</v>
      </c>
      <c r="S16" s="1">
        <v>300</v>
      </c>
      <c r="T16" s="1">
        <f t="shared" si="6"/>
        <v>1.5579999999999998</v>
      </c>
    </row>
    <row r="17" spans="1:9" ht="15.5">
      <c r="A17" s="2"/>
      <c r="B17" s="32" t="s">
        <v>20</v>
      </c>
      <c r="C17" s="32" t="s">
        <v>21</v>
      </c>
      <c r="D17" s="32" t="s">
        <v>22</v>
      </c>
      <c r="E17" s="32" t="s">
        <v>23</v>
      </c>
      <c r="F17" s="2"/>
      <c r="G17" s="2"/>
    </row>
    <row r="18" spans="1:9" ht="16.5">
      <c r="A18" s="2"/>
      <c r="B18" s="33" t="s">
        <v>6</v>
      </c>
      <c r="C18" s="33" t="s">
        <v>6</v>
      </c>
      <c r="D18" s="33" t="s">
        <v>24</v>
      </c>
      <c r="E18" s="33" t="s">
        <v>24</v>
      </c>
      <c r="F18" s="2"/>
      <c r="G18" s="2"/>
    </row>
    <row r="19" spans="1:9" ht="15.5">
      <c r="A19"/>
      <c r="B19" s="34">
        <v>2</v>
      </c>
      <c r="C19" s="35">
        <f t="shared" ref="C19:C35" si="8">(Mполн * L_1 - Mст * Lпр/2 - Mпр2 * Lпр - M_2 * (Lпр + $B19))/M_1</f>
        <v>34.135335768796757</v>
      </c>
      <c r="D19" s="36">
        <f t="shared" ref="D19:D35" si="9">Jполн - Jст</f>
        <v>0.22187862469485706</v>
      </c>
      <c r="E19" s="37">
        <f t="shared" ref="E19:E35" si="10">( M_1 *(Lпр  -  $C19)^2 + M_2 * $B19^2)/10000000</f>
        <v>0.10114514243719822</v>
      </c>
      <c r="F19" s="38"/>
      <c r="G19" s="39"/>
      <c r="H19" s="40"/>
      <c r="I19" s="41"/>
    </row>
    <row r="20" spans="1:9">
      <c r="A20"/>
      <c r="B20" s="34">
        <v>3</v>
      </c>
      <c r="C20" s="35">
        <f t="shared" si="8"/>
        <v>33.141829275290263</v>
      </c>
      <c r="D20" s="36">
        <f t="shared" si="9"/>
        <v>0.22187862469485706</v>
      </c>
      <c r="E20" s="37">
        <f t="shared" si="10"/>
        <v>0.10973553397300526</v>
      </c>
      <c r="F20" s="42"/>
      <c r="G20" s="43"/>
      <c r="H20" s="43"/>
    </row>
    <row r="21" spans="1:9">
      <c r="A21"/>
      <c r="B21" s="34">
        <v>4</v>
      </c>
      <c r="C21" s="35">
        <f t="shared" si="8"/>
        <v>32.148322781783762</v>
      </c>
      <c r="D21" s="36">
        <f t="shared" si="9"/>
        <v>0.22187862469485706</v>
      </c>
      <c r="E21" s="37">
        <f t="shared" si="10"/>
        <v>0.11891763810621497</v>
      </c>
      <c r="F21" s="42"/>
      <c r="G21" s="43"/>
      <c r="H21" s="43"/>
    </row>
    <row r="22" spans="1:9">
      <c r="A22"/>
      <c r="B22" s="34">
        <v>5</v>
      </c>
      <c r="C22" s="35">
        <f t="shared" si="8"/>
        <v>31.154816288277274</v>
      </c>
      <c r="D22" s="36">
        <f t="shared" si="9"/>
        <v>0.22187862469485706</v>
      </c>
      <c r="E22" s="37">
        <f t="shared" si="10"/>
        <v>0.12869145483682715</v>
      </c>
      <c r="F22" s="42"/>
      <c r="G22" s="43"/>
      <c r="H22" s="43"/>
    </row>
    <row r="23" spans="1:9">
      <c r="A23"/>
      <c r="B23" s="34">
        <v>6</v>
      </c>
      <c r="C23" s="35">
        <f t="shared" si="8"/>
        <v>30.161309794770776</v>
      </c>
      <c r="D23" s="36">
        <f t="shared" si="9"/>
        <v>0.22187862469485706</v>
      </c>
      <c r="E23" s="37">
        <f t="shared" si="10"/>
        <v>0.13905698416484202</v>
      </c>
      <c r="F23" s="42"/>
      <c r="G23" s="43"/>
      <c r="H23" s="43"/>
    </row>
    <row r="24" spans="1:9">
      <c r="A24"/>
      <c r="B24" s="34">
        <v>7</v>
      </c>
      <c r="C24" s="35">
        <f t="shared" si="8"/>
        <v>29.167803301264289</v>
      </c>
      <c r="D24" s="36">
        <f t="shared" si="9"/>
        <v>0.22187862469485706</v>
      </c>
      <c r="E24" s="37">
        <f t="shared" si="10"/>
        <v>0.15001422609025938</v>
      </c>
      <c r="F24" s="42"/>
      <c r="G24" s="43"/>
      <c r="H24" s="43"/>
    </row>
    <row r="25" spans="1:9">
      <c r="A25"/>
      <c r="B25" s="34">
        <v>8</v>
      </c>
      <c r="C25" s="35">
        <f t="shared" si="8"/>
        <v>28.174296807757791</v>
      </c>
      <c r="D25" s="36">
        <f t="shared" si="9"/>
        <v>0.22187862469485706</v>
      </c>
      <c r="E25" s="37">
        <f t="shared" si="10"/>
        <v>0.16156318061307945</v>
      </c>
      <c r="F25" s="42"/>
      <c r="G25" s="43"/>
      <c r="H25" s="43"/>
    </row>
    <row r="26" spans="1:9">
      <c r="A26"/>
      <c r="B26" s="34">
        <v>9</v>
      </c>
      <c r="C26" s="35">
        <f t="shared" si="8"/>
        <v>27.180790314251297</v>
      </c>
      <c r="D26" s="36">
        <f t="shared" si="9"/>
        <v>0.22187862469485706</v>
      </c>
      <c r="E26" s="37">
        <f t="shared" si="10"/>
        <v>0.17370384773330211</v>
      </c>
      <c r="F26" s="42"/>
      <c r="G26" s="43"/>
      <c r="H26" s="43"/>
    </row>
    <row r="27" spans="1:9">
      <c r="A27"/>
      <c r="B27" s="34">
        <v>10</v>
      </c>
      <c r="C27" s="35">
        <f t="shared" si="8"/>
        <v>26.187283820744806</v>
      </c>
      <c r="D27" s="36">
        <f t="shared" si="9"/>
        <v>0.22187862469485706</v>
      </c>
      <c r="E27" s="37">
        <f t="shared" si="10"/>
        <v>0.18643622745092728</v>
      </c>
      <c r="F27" s="42"/>
      <c r="G27" s="43"/>
      <c r="H27" s="43"/>
    </row>
    <row r="28" spans="1:9">
      <c r="A28"/>
      <c r="B28" s="34">
        <v>11</v>
      </c>
      <c r="C28" s="35">
        <f t="shared" si="8"/>
        <v>25.193777327238312</v>
      </c>
      <c r="D28" s="36">
        <f t="shared" si="9"/>
        <v>0.22187862469485706</v>
      </c>
      <c r="E28" s="37">
        <f t="shared" si="10"/>
        <v>0.19976031976595515</v>
      </c>
      <c r="F28" s="42"/>
      <c r="G28" s="43"/>
      <c r="H28" s="43"/>
    </row>
    <row r="29" spans="1:9">
      <c r="A29"/>
      <c r="B29" s="34">
        <v>12</v>
      </c>
      <c r="C29" s="35">
        <f t="shared" si="8"/>
        <v>24.200270833731821</v>
      </c>
      <c r="D29" s="36">
        <f t="shared" si="9"/>
        <v>0.22187862469485706</v>
      </c>
      <c r="E29" s="37">
        <f t="shared" si="10"/>
        <v>0.21367612467838554</v>
      </c>
      <c r="F29" s="42"/>
      <c r="G29" s="43"/>
      <c r="H29" s="43"/>
    </row>
    <row r="30" spans="1:9">
      <c r="A30"/>
      <c r="B30" s="34">
        <v>13</v>
      </c>
      <c r="C30" s="35">
        <f t="shared" si="8"/>
        <v>23.206764340225327</v>
      </c>
      <c r="D30" s="36">
        <f t="shared" si="9"/>
        <v>0.22187862469485706</v>
      </c>
      <c r="E30" s="37">
        <f t="shared" si="10"/>
        <v>0.22818364218821857</v>
      </c>
      <c r="F30" s="42"/>
      <c r="G30" s="43"/>
      <c r="H30" s="43"/>
    </row>
    <row r="31" spans="1:9">
      <c r="A31"/>
      <c r="B31" s="34">
        <v>14</v>
      </c>
      <c r="C31" s="35">
        <f t="shared" si="8"/>
        <v>22.213257846718829</v>
      </c>
      <c r="D31" s="36">
        <f t="shared" si="9"/>
        <v>0.22187862469485706</v>
      </c>
      <c r="E31" s="37">
        <f t="shared" si="10"/>
        <v>0.2432828722954542</v>
      </c>
      <c r="F31" s="42"/>
      <c r="G31" s="43"/>
      <c r="H31" s="43"/>
    </row>
    <row r="32" spans="1:9">
      <c r="A32"/>
      <c r="B32" s="34">
        <v>15</v>
      </c>
      <c r="C32" s="35">
        <f t="shared" si="8"/>
        <v>21.219751353212342</v>
      </c>
      <c r="D32" s="36">
        <f t="shared" si="9"/>
        <v>0.22187862469485706</v>
      </c>
      <c r="E32" s="37">
        <f t="shared" si="10"/>
        <v>0.25897381500009231</v>
      </c>
      <c r="F32" s="42"/>
      <c r="G32" s="43"/>
      <c r="H32" s="43"/>
    </row>
    <row r="33" spans="1:8">
      <c r="A33"/>
      <c r="B33" s="34">
        <v>16</v>
      </c>
      <c r="C33" s="35">
        <f t="shared" si="8"/>
        <v>20.226244859705844</v>
      </c>
      <c r="D33" s="36">
        <f t="shared" si="9"/>
        <v>0.22187862469485706</v>
      </c>
      <c r="E33" s="37">
        <f t="shared" si="10"/>
        <v>0.27525647030213324</v>
      </c>
      <c r="F33" s="42"/>
      <c r="G33" s="43"/>
      <c r="H33" s="43"/>
    </row>
    <row r="34" spans="1:8">
      <c r="A34"/>
      <c r="B34" s="34">
        <v>17</v>
      </c>
      <c r="C34" s="35">
        <f t="shared" si="8"/>
        <v>19.232738366199357</v>
      </c>
      <c r="D34" s="36">
        <f t="shared" si="9"/>
        <v>0.22187862469485706</v>
      </c>
      <c r="E34" s="37">
        <f t="shared" si="10"/>
        <v>0.29213083820157654</v>
      </c>
      <c r="F34" s="42"/>
      <c r="G34" s="43"/>
      <c r="H34" s="43"/>
    </row>
    <row r="35" spans="1:8">
      <c r="A35"/>
      <c r="B35" s="34">
        <v>18</v>
      </c>
      <c r="C35" s="35">
        <f t="shared" si="8"/>
        <v>18.239231872692859</v>
      </c>
      <c r="D35" s="36">
        <f t="shared" si="9"/>
        <v>0.22187862469485706</v>
      </c>
      <c r="E35" s="37">
        <f t="shared" si="10"/>
        <v>0.30959691869842265</v>
      </c>
      <c r="F35" s="42"/>
      <c r="G35" s="43"/>
      <c r="H35" s="43"/>
    </row>
    <row r="36" spans="1:8">
      <c r="A36"/>
      <c r="B36" s="43"/>
      <c r="C36" s="43"/>
      <c r="D36" s="42"/>
      <c r="E36" s="42"/>
      <c r="F36" s="42"/>
      <c r="G36" s="43"/>
      <c r="H36" s="43"/>
    </row>
    <row r="37" spans="1:8" ht="14">
      <c r="A37" s="96" t="s">
        <v>25</v>
      </c>
      <c r="B37" s="96"/>
      <c r="C37" s="96"/>
      <c r="D37" s="96"/>
      <c r="E37" s="96"/>
      <c r="F37" s="48"/>
      <c r="G37" s="43"/>
      <c r="H37" s="43"/>
    </row>
    <row r="38" spans="1:8" ht="15" customHeight="1">
      <c r="A38"/>
      <c r="B38" s="49">
        <v>12.3</v>
      </c>
      <c r="C38" s="98" t="s">
        <v>26</v>
      </c>
      <c r="D38" s="98"/>
      <c r="E38" s="98"/>
      <c r="F38" s="42"/>
      <c r="G38" s="43"/>
      <c r="H38" s="43"/>
    </row>
    <row r="39" spans="1:8" ht="15.5">
      <c r="A39"/>
      <c r="B39" s="49">
        <v>0.1</v>
      </c>
      <c r="C39" s="50" t="s">
        <v>27</v>
      </c>
      <c r="D39" s="51"/>
      <c r="E39" s="51"/>
    </row>
    <row r="40" spans="1:8">
      <c r="A40"/>
      <c r="B40" s="52">
        <f>$B$38-5*$B$39</f>
        <v>11.8</v>
      </c>
      <c r="C40" s="53">
        <f t="shared" ref="C40:C50" si="11">(Mполн * L_1 - Mст * Lпр/2 - Mпр2 * Lпр - M_2 * (Lпр + $B40))/M_1</f>
        <v>24.398972132433116</v>
      </c>
      <c r="D40" s="54">
        <f t="shared" ref="D40:D50" si="12">Jполн - Jст</f>
        <v>0.22187862469485706</v>
      </c>
      <c r="E40" s="55">
        <f t="shared" ref="E40:E50" si="13">( M_1 *(Lпр  -  $C40)^2 + M_2 * $B40^2)/10000000</f>
        <v>0.2108456266881073</v>
      </c>
    </row>
    <row r="41" spans="1:8">
      <c r="A41"/>
      <c r="B41" s="34">
        <f>$B$38-4*$B$39</f>
        <v>11.9</v>
      </c>
      <c r="C41" s="35">
        <f t="shared" si="11"/>
        <v>24.299621483082465</v>
      </c>
      <c r="D41" s="36">
        <f t="shared" si="12"/>
        <v>0.22187862469485706</v>
      </c>
      <c r="E41" s="37">
        <f t="shared" si="13"/>
        <v>0.21225791712025949</v>
      </c>
    </row>
    <row r="42" spans="1:8">
      <c r="A42"/>
      <c r="B42" s="34">
        <f>$B$38-3*$B$39</f>
        <v>12</v>
      </c>
      <c r="C42" s="35">
        <f t="shared" si="11"/>
        <v>24.200270833731821</v>
      </c>
      <c r="D42" s="36">
        <f t="shared" si="12"/>
        <v>0.22187862469485706</v>
      </c>
      <c r="E42" s="37">
        <f t="shared" si="13"/>
        <v>0.21367612467838554</v>
      </c>
      <c r="F42" s="42"/>
      <c r="G42" s="43"/>
      <c r="H42" s="43"/>
    </row>
    <row r="43" spans="1:8">
      <c r="A43"/>
      <c r="B43" s="34">
        <f>$B$38-2*$B$39</f>
        <v>12.100000000000001</v>
      </c>
      <c r="C43" s="35">
        <f t="shared" si="11"/>
        <v>24.100920184381163</v>
      </c>
      <c r="D43" s="36">
        <f t="shared" si="12"/>
        <v>0.22187862469485706</v>
      </c>
      <c r="E43" s="37">
        <f t="shared" si="13"/>
        <v>0.21510024936248581</v>
      </c>
      <c r="F43" s="42"/>
      <c r="G43" s="43"/>
      <c r="H43" s="43"/>
    </row>
    <row r="44" spans="1:8">
      <c r="A44"/>
      <c r="B44" s="34">
        <f>$B$38-1*$B$39</f>
        <v>12.200000000000001</v>
      </c>
      <c r="C44" s="35">
        <f t="shared" si="11"/>
        <v>24.001569535030519</v>
      </c>
      <c r="D44" s="36">
        <f t="shared" si="12"/>
        <v>0.22187862469485706</v>
      </c>
      <c r="E44" s="37">
        <f t="shared" si="13"/>
        <v>0.21653029117255998</v>
      </c>
      <c r="F44" s="42"/>
      <c r="G44" s="43"/>
      <c r="H44" s="43"/>
    </row>
    <row r="45" spans="1:8">
      <c r="A45"/>
      <c r="B45" s="34">
        <f>$B$38-0*$B$39</f>
        <v>12.3</v>
      </c>
      <c r="C45" s="35">
        <f t="shared" si="11"/>
        <v>23.902218885679879</v>
      </c>
      <c r="D45" s="36">
        <f t="shared" si="12"/>
        <v>0.22187862469485706</v>
      </c>
      <c r="E45" s="37">
        <f t="shared" si="13"/>
        <v>0.2179662501086081</v>
      </c>
      <c r="F45" s="42"/>
      <c r="G45" s="43"/>
      <c r="H45" s="43"/>
    </row>
    <row r="46" spans="1:8">
      <c r="A46"/>
      <c r="B46" s="34">
        <f>$B$38+1*$B$39</f>
        <v>12.4</v>
      </c>
      <c r="C46" s="35">
        <f t="shared" si="11"/>
        <v>23.802868236329218</v>
      </c>
      <c r="D46" s="36">
        <f t="shared" si="12"/>
        <v>0.22187862469485706</v>
      </c>
      <c r="E46" s="37">
        <f t="shared" si="13"/>
        <v>0.21940812617063052</v>
      </c>
      <c r="F46" s="42"/>
      <c r="G46" s="43"/>
      <c r="H46" s="43"/>
    </row>
    <row r="47" spans="1:8">
      <c r="A47"/>
      <c r="B47" s="34">
        <f>$B$38+2*$B$39</f>
        <v>12.5</v>
      </c>
      <c r="C47" s="35">
        <f t="shared" si="11"/>
        <v>23.703517586978574</v>
      </c>
      <c r="D47" s="36">
        <f t="shared" si="12"/>
        <v>0.22187862469485706</v>
      </c>
      <c r="E47" s="37">
        <f t="shared" si="13"/>
        <v>0.2208559193586267</v>
      </c>
      <c r="F47" s="42"/>
      <c r="G47" s="43"/>
      <c r="H47" s="43"/>
    </row>
    <row r="48" spans="1:8">
      <c r="A48"/>
      <c r="B48" s="34">
        <f>$B$38+3*$B$39</f>
        <v>12.600000000000001</v>
      </c>
      <c r="C48" s="35">
        <f t="shared" si="11"/>
        <v>23.604166937627912</v>
      </c>
      <c r="D48" s="36">
        <f t="shared" si="12"/>
        <v>0.22187862469485706</v>
      </c>
      <c r="E48" s="37">
        <f t="shared" si="13"/>
        <v>0.22230962967259721</v>
      </c>
      <c r="F48" s="42"/>
      <c r="G48" s="43"/>
      <c r="H48" s="43"/>
    </row>
    <row r="49" spans="1:8">
      <c r="A49"/>
      <c r="B49" s="34">
        <f>$B$38+4*$B$39</f>
        <v>12.700000000000001</v>
      </c>
      <c r="C49" s="35">
        <f t="shared" si="11"/>
        <v>23.504816288277272</v>
      </c>
      <c r="D49" s="36">
        <f t="shared" si="12"/>
        <v>0.22187862469485706</v>
      </c>
      <c r="E49" s="37">
        <f t="shared" si="13"/>
        <v>0.22376925711254148</v>
      </c>
      <c r="F49" s="42"/>
      <c r="G49" s="43"/>
      <c r="H49" s="43"/>
    </row>
    <row r="50" spans="1:8">
      <c r="A50"/>
      <c r="B50" s="44">
        <f>$B$38+5*$B$39</f>
        <v>12.8</v>
      </c>
      <c r="C50" s="45">
        <f t="shared" si="11"/>
        <v>23.405465638926628</v>
      </c>
      <c r="D50" s="46">
        <f t="shared" si="12"/>
        <v>0.22187862469485706</v>
      </c>
      <c r="E50" s="47">
        <f t="shared" si="13"/>
        <v>0.22523480167845972</v>
      </c>
      <c r="F50" s="42"/>
      <c r="G50" s="43"/>
      <c r="H50" s="43"/>
    </row>
    <row r="51" spans="1:8">
      <c r="A51"/>
      <c r="B51"/>
      <c r="C51"/>
      <c r="D51"/>
      <c r="E51"/>
      <c r="F51" s="42"/>
      <c r="G51" s="43"/>
      <c r="H51" s="43"/>
    </row>
    <row r="52" spans="1:8">
      <c r="A52"/>
      <c r="B52"/>
      <c r="C52"/>
      <c r="D52"/>
      <c r="E52"/>
      <c r="F52" s="42"/>
      <c r="G52" s="43"/>
      <c r="H52" s="43"/>
    </row>
    <row r="53" spans="1:8">
      <c r="A53" s="43"/>
      <c r="B53" s="43"/>
      <c r="C53" s="42"/>
      <c r="D53" s="42"/>
      <c r="E53" s="42"/>
      <c r="F53" s="43"/>
      <c r="G53" s="43"/>
    </row>
    <row r="57" spans="1:8">
      <c r="A57" s="43"/>
      <c r="B57" s="43"/>
      <c r="C57" s="56"/>
      <c r="D57" s="42"/>
      <c r="E57" s="41"/>
    </row>
    <row r="58" spans="1:8">
      <c r="A58" s="43"/>
      <c r="B58" s="43"/>
      <c r="C58" s="56"/>
      <c r="D58" s="42"/>
      <c r="E58" s="41"/>
    </row>
    <row r="59" spans="1:8">
      <c r="A59" s="43"/>
      <c r="B59" s="43"/>
      <c r="C59" s="56"/>
      <c r="D59" s="42"/>
      <c r="E59" s="41"/>
    </row>
    <row r="60" spans="1:8">
      <c r="A60" s="43"/>
      <c r="B60" s="43"/>
      <c r="C60" s="56"/>
      <c r="D60" s="42"/>
      <c r="E60" s="41"/>
    </row>
    <row r="61" spans="1:8">
      <c r="A61" s="43"/>
      <c r="B61" s="43"/>
      <c r="C61" s="56"/>
      <c r="D61" s="42"/>
      <c r="E61" s="41"/>
    </row>
    <row r="62" spans="1:8">
      <c r="A62" s="43"/>
      <c r="B62" s="43"/>
      <c r="C62" s="56"/>
      <c r="D62" s="42"/>
      <c r="E62" s="41"/>
    </row>
    <row r="63" spans="1:8">
      <c r="A63" s="43"/>
      <c r="B63" s="43"/>
      <c r="C63" s="56"/>
      <c r="D63" s="42"/>
      <c r="E63" s="41"/>
    </row>
    <row r="64" spans="1:8">
      <c r="A64" s="43"/>
      <c r="B64" s="43"/>
      <c r="C64" s="56"/>
      <c r="D64" s="42"/>
      <c r="E64" s="41"/>
    </row>
    <row r="65" spans="1:5">
      <c r="A65" s="43"/>
      <c r="B65" s="43"/>
      <c r="C65" s="56"/>
      <c r="D65" s="42"/>
      <c r="E65" s="41"/>
    </row>
    <row r="66" spans="1:5">
      <c r="A66" s="43"/>
      <c r="B66" s="43"/>
      <c r="C66" s="56"/>
      <c r="D66" s="42"/>
      <c r="E66" s="41"/>
    </row>
    <row r="67" spans="1:5">
      <c r="A67" s="43"/>
      <c r="B67" s="43"/>
      <c r="C67" s="56"/>
      <c r="D67" s="42"/>
      <c r="E67" s="41"/>
    </row>
    <row r="68" spans="1:5">
      <c r="A68" s="43"/>
      <c r="B68" s="43"/>
      <c r="C68" s="56"/>
      <c r="D68" s="42"/>
      <c r="E68" s="41"/>
    </row>
    <row r="69" spans="1:5">
      <c r="A69" s="43"/>
      <c r="B69" s="43"/>
      <c r="C69" s="56"/>
      <c r="D69" s="42"/>
      <c r="E69" s="41"/>
    </row>
    <row r="70" spans="1:5">
      <c r="A70" s="43"/>
      <c r="B70" s="43"/>
      <c r="C70" s="56"/>
      <c r="D70" s="42"/>
      <c r="E70" s="41"/>
    </row>
    <row r="71" spans="1:5">
      <c r="A71" s="43"/>
      <c r="B71" s="43"/>
      <c r="C71" s="56"/>
      <c r="D71" s="42"/>
      <c r="E71" s="41"/>
    </row>
    <row r="72" spans="1:5">
      <c r="A72" s="43"/>
      <c r="B72" s="43"/>
      <c r="C72" s="56"/>
      <c r="D72" s="42"/>
      <c r="E72" s="41"/>
    </row>
    <row r="73" spans="1:5">
      <c r="A73" s="43"/>
      <c r="B73" s="43"/>
      <c r="C73" s="56"/>
      <c r="D73" s="42"/>
      <c r="E73" s="41"/>
    </row>
    <row r="74" spans="1:5">
      <c r="A74" s="43"/>
      <c r="B74" s="43"/>
      <c r="C74" s="56"/>
      <c r="D74" s="42"/>
      <c r="E74" s="41"/>
    </row>
    <row r="75" spans="1:5">
      <c r="A75" s="43"/>
      <c r="B75" s="43"/>
      <c r="C75" s="56"/>
      <c r="D75" s="42"/>
      <c r="E75" s="41"/>
    </row>
    <row r="76" spans="1:5">
      <c r="A76" s="43"/>
      <c r="B76" s="43"/>
      <c r="C76" s="56"/>
      <c r="D76" s="42"/>
      <c r="E76" s="41"/>
    </row>
    <row r="77" spans="1:5">
      <c r="A77" s="43"/>
      <c r="B77" s="43"/>
      <c r="C77" s="56"/>
      <c r="D77" s="42"/>
      <c r="E77" s="41"/>
    </row>
    <row r="78" spans="1:5">
      <c r="A78" s="43"/>
      <c r="B78" s="43"/>
      <c r="C78" s="56"/>
      <c r="D78" s="42"/>
      <c r="E78" s="41"/>
    </row>
    <row r="79" spans="1:5">
      <c r="A79" s="43"/>
      <c r="B79" s="43"/>
      <c r="C79" s="56"/>
      <c r="D79" s="42"/>
      <c r="E79" s="41"/>
    </row>
    <row r="80" spans="1:5">
      <c r="A80" s="43"/>
      <c r="B80" s="43"/>
      <c r="C80" s="56"/>
      <c r="D80" s="42"/>
      <c r="E80" s="41"/>
    </row>
    <row r="81" spans="1:5">
      <c r="A81" s="43"/>
      <c r="B81" s="43"/>
      <c r="C81" s="56"/>
      <c r="D81" s="42"/>
      <c r="E81" s="41"/>
    </row>
    <row r="82" spans="1:5">
      <c r="A82" s="43"/>
      <c r="B82" s="43"/>
      <c r="C82" s="56"/>
      <c r="D82" s="42"/>
      <c r="E82" s="41"/>
    </row>
    <row r="83" spans="1:5">
      <c r="A83" s="43"/>
      <c r="B83" s="43"/>
      <c r="C83" s="56"/>
      <c r="D83" s="42"/>
      <c r="E83" s="41"/>
    </row>
    <row r="84" spans="1:5">
      <c r="A84" s="43"/>
      <c r="B84" s="43"/>
      <c r="C84" s="56"/>
      <c r="D84" s="42"/>
      <c r="E84" s="41"/>
    </row>
    <row r="85" spans="1:5">
      <c r="A85" s="43"/>
      <c r="B85" s="43"/>
      <c r="C85" s="56"/>
      <c r="D85" s="42"/>
      <c r="E85" s="41"/>
    </row>
    <row r="86" spans="1:5">
      <c r="A86" s="43"/>
      <c r="B86" s="43"/>
      <c r="C86" s="56"/>
      <c r="D86" s="42"/>
      <c r="E86" s="41"/>
    </row>
  </sheetData>
  <mergeCells count="4">
    <mergeCell ref="A1:F1"/>
    <mergeCell ref="A16:E16"/>
    <mergeCell ref="A37:E37"/>
    <mergeCell ref="C38:E38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6"/>
  <sheetViews>
    <sheetView workbookViewId="0">
      <selection activeCell="B35" sqref="B35"/>
    </sheetView>
  </sheetViews>
  <sheetFormatPr defaultColWidth="11.54296875" defaultRowHeight="12.5"/>
  <cols>
    <col min="1" max="1" width="20.90625" customWidth="1"/>
    <col min="2" max="10" width="10.1796875" customWidth="1"/>
  </cols>
  <sheetData>
    <row r="1" spans="1:8" ht="14">
      <c r="A1" s="96" t="s">
        <v>28</v>
      </c>
      <c r="B1" s="96"/>
      <c r="C1" s="96"/>
      <c r="D1" s="96"/>
      <c r="E1" s="96"/>
      <c r="F1" s="96"/>
    </row>
    <row r="2" spans="1:8" s="57" customFormat="1" ht="14">
      <c r="A2" s="48"/>
      <c r="B2" s="48"/>
      <c r="C2" s="48"/>
      <c r="D2" s="48"/>
      <c r="E2" s="48"/>
      <c r="F2" s="48"/>
    </row>
    <row r="3" spans="1:8" ht="14">
      <c r="A3" s="96" t="s">
        <v>29</v>
      </c>
      <c r="B3" s="96"/>
      <c r="C3" s="96"/>
      <c r="D3" s="96"/>
      <c r="E3" s="96"/>
      <c r="F3" s="96"/>
    </row>
    <row r="4" spans="1:8" ht="15.5">
      <c r="A4" s="58" t="s">
        <v>30</v>
      </c>
      <c r="B4" s="9">
        <v>12</v>
      </c>
      <c r="C4" s="16" t="s">
        <v>6</v>
      </c>
    </row>
    <row r="5" spans="1:8" ht="15.5">
      <c r="A5" s="58"/>
      <c r="B5" s="59"/>
      <c r="C5" s="16"/>
    </row>
    <row r="6" spans="1:8" ht="26.9" customHeight="1">
      <c r="A6" s="97" t="s">
        <v>31</v>
      </c>
      <c r="B6" s="97"/>
      <c r="C6" s="97"/>
      <c r="D6" s="97"/>
      <c r="E6" s="97"/>
      <c r="F6" s="97"/>
    </row>
    <row r="7" spans="1:8">
      <c r="E7" s="99" t="s">
        <v>32</v>
      </c>
      <c r="F7" s="99"/>
      <c r="G7" s="99"/>
      <c r="H7" s="99"/>
    </row>
    <row r="8" spans="1:8" ht="37.5">
      <c r="E8" s="60" t="s">
        <v>33</v>
      </c>
      <c r="F8" s="61" t="s">
        <v>34</v>
      </c>
      <c r="G8" s="61"/>
      <c r="H8" s="62" t="s">
        <v>35</v>
      </c>
    </row>
    <row r="9" spans="1:8">
      <c r="B9" s="63" t="s">
        <v>36</v>
      </c>
      <c r="C9" s="64" t="s">
        <v>37</v>
      </c>
      <c r="D9" s="65" t="s">
        <v>21</v>
      </c>
      <c r="E9" s="66" t="s">
        <v>38</v>
      </c>
      <c r="F9" s="67" t="s">
        <v>39</v>
      </c>
      <c r="G9" s="67" t="s">
        <v>40</v>
      </c>
      <c r="H9" s="68" t="s">
        <v>23</v>
      </c>
    </row>
    <row r="10" spans="1:8" ht="14">
      <c r="A10" s="69" t="s">
        <v>41</v>
      </c>
      <c r="B10" s="70">
        <v>7</v>
      </c>
      <c r="C10" s="71">
        <f t="shared" ref="C10:C31" si="0">Lпр - $B10</f>
        <v>53.08</v>
      </c>
      <c r="D10" s="72">
        <f t="shared" ref="D10:D31" si="1">(Mполн * $C10 - Mст * Lпр/2 - Mпр2 * Lпр - M_2 * (Lпр + $B$4))/M_1</f>
        <v>52.319651894497248</v>
      </c>
      <c r="E10" s="73">
        <f t="shared" ref="E10:E31" si="2">Mполн * $B10 * $C10 /10000000</f>
        <v>0.15352859199999999</v>
      </c>
      <c r="F10" s="74">
        <f t="shared" ref="F10:F31" si="3">(Mст*(Lст^2/12+($C10 - Lпр/2)^2) + Mпр * $C10^2 + Mпр2 * $B10^2)/10000000</f>
        <v>0.16071125372799999</v>
      </c>
      <c r="G10" s="75">
        <f t="shared" ref="G10:G31" si="4">$E10 - $F10</f>
        <v>-7.1826617280000005E-3</v>
      </c>
      <c r="H10" s="76">
        <f t="shared" ref="H10:H31" si="5">(M_1 * ($C10-$D10)^2 + M_2 * ($B10+$B$4)^2)/10000000</f>
        <v>5.3662370946101483E-2</v>
      </c>
    </row>
    <row r="11" spans="1:8">
      <c r="B11" s="77">
        <f t="shared" ref="B11:B31" si="6">$B10+1</f>
        <v>8</v>
      </c>
      <c r="C11" s="71">
        <f t="shared" si="0"/>
        <v>52.08</v>
      </c>
      <c r="D11" s="72">
        <f t="shared" si="1"/>
        <v>49.553552014995311</v>
      </c>
      <c r="E11" s="73">
        <f t="shared" si="2"/>
        <v>0.17215564799999999</v>
      </c>
      <c r="F11" s="74">
        <f t="shared" si="3"/>
        <v>0.15541319372799997</v>
      </c>
      <c r="G11" s="75">
        <f t="shared" si="4"/>
        <v>1.6742454272000024E-2</v>
      </c>
      <c r="H11" s="76">
        <f t="shared" si="5"/>
        <v>6.031748349069916E-2</v>
      </c>
    </row>
    <row r="12" spans="1:8">
      <c r="B12" s="77">
        <f t="shared" si="6"/>
        <v>9</v>
      </c>
      <c r="C12" s="71">
        <f t="shared" si="0"/>
        <v>51.08</v>
      </c>
      <c r="D12" s="72">
        <f t="shared" si="1"/>
        <v>46.787452135493368</v>
      </c>
      <c r="E12" s="73">
        <f t="shared" si="2"/>
        <v>0.18995630399999999</v>
      </c>
      <c r="F12" s="74">
        <f t="shared" si="3"/>
        <v>0.15034597372799999</v>
      </c>
      <c r="G12" s="75">
        <f t="shared" si="4"/>
        <v>3.9610330272000005E-2</v>
      </c>
      <c r="H12" s="76">
        <f t="shared" si="5"/>
        <v>6.8201280975717232E-2</v>
      </c>
    </row>
    <row r="13" spans="1:8">
      <c r="B13" s="77">
        <f t="shared" si="6"/>
        <v>10</v>
      </c>
      <c r="C13" s="71">
        <f t="shared" si="0"/>
        <v>50.08</v>
      </c>
      <c r="D13" s="72">
        <f t="shared" si="1"/>
        <v>44.021352255991424</v>
      </c>
      <c r="E13" s="73">
        <f t="shared" si="2"/>
        <v>0.20693055999999999</v>
      </c>
      <c r="F13" s="74">
        <f t="shared" si="3"/>
        <v>0.14550959372799996</v>
      </c>
      <c r="G13" s="75">
        <f t="shared" si="4"/>
        <v>6.1420966272000027E-2</v>
      </c>
      <c r="H13" s="76">
        <f t="shared" si="5"/>
        <v>7.7313763401155713E-2</v>
      </c>
    </row>
    <row r="14" spans="1:8">
      <c r="B14" s="77">
        <f t="shared" si="6"/>
        <v>11</v>
      </c>
      <c r="C14" s="71">
        <f t="shared" si="0"/>
        <v>49.08</v>
      </c>
      <c r="D14" s="72">
        <f t="shared" si="1"/>
        <v>41.255252376489487</v>
      </c>
      <c r="E14" s="73">
        <f t="shared" si="2"/>
        <v>0.223078416</v>
      </c>
      <c r="F14" s="74">
        <f t="shared" si="3"/>
        <v>0.14090405372799999</v>
      </c>
      <c r="G14" s="75">
        <f t="shared" si="4"/>
        <v>8.2174362272000007E-2</v>
      </c>
      <c r="H14" s="76">
        <f t="shared" si="5"/>
        <v>8.7654930767014583E-2</v>
      </c>
    </row>
    <row r="15" spans="1:8">
      <c r="B15" s="77">
        <f t="shared" si="6"/>
        <v>12</v>
      </c>
      <c r="C15" s="71">
        <f t="shared" si="0"/>
        <v>48.08</v>
      </c>
      <c r="D15" s="72">
        <f t="shared" si="1"/>
        <v>38.489152496987543</v>
      </c>
      <c r="E15" s="73">
        <f t="shared" si="2"/>
        <v>0.23839987199999998</v>
      </c>
      <c r="F15" s="74">
        <f t="shared" si="3"/>
        <v>0.13652935372799999</v>
      </c>
      <c r="G15" s="75">
        <f t="shared" si="4"/>
        <v>0.101870518272</v>
      </c>
      <c r="H15" s="76">
        <f t="shared" si="5"/>
        <v>9.9224783073293882E-2</v>
      </c>
    </row>
    <row r="16" spans="1:8">
      <c r="B16" s="77">
        <f t="shared" si="6"/>
        <v>13</v>
      </c>
      <c r="C16" s="71">
        <f t="shared" si="0"/>
        <v>47.08</v>
      </c>
      <c r="D16" s="72">
        <f t="shared" si="1"/>
        <v>35.7230526174856</v>
      </c>
      <c r="E16" s="73">
        <f t="shared" si="2"/>
        <v>0.25289492799999996</v>
      </c>
      <c r="F16" s="74">
        <f t="shared" si="3"/>
        <v>0.13238549372799999</v>
      </c>
      <c r="G16" s="75">
        <f t="shared" si="4"/>
        <v>0.12050943427199998</v>
      </c>
      <c r="H16" s="76">
        <f t="shared" si="5"/>
        <v>0.11202332031999361</v>
      </c>
    </row>
    <row r="17" spans="2:8">
      <c r="B17" s="77">
        <f t="shared" si="6"/>
        <v>14</v>
      </c>
      <c r="C17" s="71">
        <f t="shared" si="0"/>
        <v>46.08</v>
      </c>
      <c r="D17" s="72">
        <f t="shared" si="1"/>
        <v>32.956952737983663</v>
      </c>
      <c r="E17" s="73">
        <f t="shared" si="2"/>
        <v>0.26656358399999996</v>
      </c>
      <c r="F17" s="74">
        <f t="shared" si="3"/>
        <v>0.12847247372799997</v>
      </c>
      <c r="G17" s="75">
        <f t="shared" si="4"/>
        <v>0.13809111027199999</v>
      </c>
      <c r="H17" s="76">
        <f t="shared" si="5"/>
        <v>0.12605054250711367</v>
      </c>
    </row>
    <row r="18" spans="2:8">
      <c r="B18" s="77">
        <f t="shared" si="6"/>
        <v>15</v>
      </c>
      <c r="C18" s="71">
        <f t="shared" si="0"/>
        <v>45.08</v>
      </c>
      <c r="D18" s="72">
        <f t="shared" si="1"/>
        <v>30.190852858481719</v>
      </c>
      <c r="E18" s="73">
        <f t="shared" si="2"/>
        <v>0.27940584000000002</v>
      </c>
      <c r="F18" s="74">
        <f t="shared" si="3"/>
        <v>0.12479029372799999</v>
      </c>
      <c r="G18" s="75">
        <f t="shared" si="4"/>
        <v>0.15461554627200003</v>
      </c>
      <c r="H18" s="76">
        <f t="shared" si="5"/>
        <v>0.14130644963465416</v>
      </c>
    </row>
    <row r="19" spans="2:8">
      <c r="B19" s="77">
        <f t="shared" si="6"/>
        <v>16</v>
      </c>
      <c r="C19" s="71">
        <f t="shared" si="0"/>
        <v>44.08</v>
      </c>
      <c r="D19" s="72">
        <f t="shared" si="1"/>
        <v>27.424752978979779</v>
      </c>
      <c r="E19" s="73">
        <f t="shared" si="2"/>
        <v>0.29142169600000001</v>
      </c>
      <c r="F19" s="74">
        <f t="shared" si="3"/>
        <v>0.12133895372800001</v>
      </c>
      <c r="G19" s="75">
        <f t="shared" si="4"/>
        <v>0.17008274227199999</v>
      </c>
      <c r="H19" s="76">
        <f t="shared" si="5"/>
        <v>0.15779104170261507</v>
      </c>
    </row>
    <row r="20" spans="2:8">
      <c r="B20" s="77">
        <f t="shared" si="6"/>
        <v>17</v>
      </c>
      <c r="C20" s="71">
        <f t="shared" si="0"/>
        <v>43.08</v>
      </c>
      <c r="D20" s="72">
        <f t="shared" si="1"/>
        <v>24.658653099477835</v>
      </c>
      <c r="E20" s="73">
        <f t="shared" si="2"/>
        <v>0.30261115199999999</v>
      </c>
      <c r="F20" s="74">
        <f t="shared" si="3"/>
        <v>0.11811845372799998</v>
      </c>
      <c r="G20" s="75">
        <f t="shared" si="4"/>
        <v>0.18449269827200002</v>
      </c>
      <c r="H20" s="76">
        <f t="shared" si="5"/>
        <v>0.17550431871099639</v>
      </c>
    </row>
    <row r="21" spans="2:8">
      <c r="B21" s="77">
        <f t="shared" si="6"/>
        <v>18</v>
      </c>
      <c r="C21" s="71">
        <f t="shared" si="0"/>
        <v>42.08</v>
      </c>
      <c r="D21" s="72">
        <f t="shared" si="1"/>
        <v>21.892553219975895</v>
      </c>
      <c r="E21" s="73">
        <f t="shared" si="2"/>
        <v>0.31297420800000003</v>
      </c>
      <c r="F21" s="74">
        <f t="shared" si="3"/>
        <v>0.11512879372799997</v>
      </c>
      <c r="G21" s="75">
        <f t="shared" si="4"/>
        <v>0.19784541427200006</v>
      </c>
      <c r="H21" s="76">
        <f t="shared" si="5"/>
        <v>0.1944462806597981</v>
      </c>
    </row>
    <row r="22" spans="2:8">
      <c r="B22" s="77">
        <f t="shared" si="6"/>
        <v>19</v>
      </c>
      <c r="C22" s="71">
        <f t="shared" si="0"/>
        <v>41.08</v>
      </c>
      <c r="D22" s="72">
        <f t="shared" si="1"/>
        <v>19.126453340473955</v>
      </c>
      <c r="E22" s="73">
        <f t="shared" si="2"/>
        <v>0.32251086399999995</v>
      </c>
      <c r="F22" s="74">
        <f t="shared" si="3"/>
        <v>0.11236997372800001</v>
      </c>
      <c r="G22" s="75">
        <f t="shared" si="4"/>
        <v>0.21014089027199995</v>
      </c>
      <c r="H22" s="76">
        <f t="shared" si="5"/>
        <v>0.2146169275490202</v>
      </c>
    </row>
    <row r="23" spans="2:8">
      <c r="B23" s="77">
        <f t="shared" si="6"/>
        <v>20</v>
      </c>
      <c r="C23" s="71">
        <f t="shared" si="0"/>
        <v>40.08</v>
      </c>
      <c r="D23" s="72">
        <f t="shared" si="1"/>
        <v>16.360353460972011</v>
      </c>
      <c r="E23" s="73">
        <f t="shared" si="2"/>
        <v>0.33122111999999998</v>
      </c>
      <c r="F23" s="74">
        <f t="shared" si="3"/>
        <v>0.10984199372799999</v>
      </c>
      <c r="G23" s="75">
        <f t="shared" si="4"/>
        <v>0.22137912627199999</v>
      </c>
      <c r="H23" s="76">
        <f t="shared" si="5"/>
        <v>0.2360162593786628</v>
      </c>
    </row>
    <row r="24" spans="2:8">
      <c r="B24" s="77">
        <f t="shared" si="6"/>
        <v>21</v>
      </c>
      <c r="C24" s="71">
        <f t="shared" si="0"/>
        <v>39.08</v>
      </c>
      <c r="D24" s="72">
        <f t="shared" si="1"/>
        <v>13.59425358147009</v>
      </c>
      <c r="E24" s="73">
        <f t="shared" si="2"/>
        <v>0.339104976</v>
      </c>
      <c r="F24" s="74">
        <f t="shared" si="3"/>
        <v>0.107544853728</v>
      </c>
      <c r="G24" s="75">
        <f t="shared" si="4"/>
        <v>0.23156012227200001</v>
      </c>
      <c r="H24" s="76">
        <f t="shared" si="5"/>
        <v>0.25864427614872554</v>
      </c>
    </row>
    <row r="25" spans="2:8">
      <c r="B25" s="77">
        <f t="shared" si="6"/>
        <v>22</v>
      </c>
      <c r="C25" s="71">
        <f t="shared" si="0"/>
        <v>38.08</v>
      </c>
      <c r="D25" s="72">
        <f t="shared" si="1"/>
        <v>10.828153701968148</v>
      </c>
      <c r="E25" s="73">
        <f t="shared" si="2"/>
        <v>0.34616243199999996</v>
      </c>
      <c r="F25" s="74">
        <f t="shared" si="3"/>
        <v>0.10547855372800001</v>
      </c>
      <c r="G25" s="75">
        <f t="shared" si="4"/>
        <v>0.24068387827199994</v>
      </c>
      <c r="H25" s="76">
        <f t="shared" si="5"/>
        <v>0.2825009778592088</v>
      </c>
    </row>
    <row r="26" spans="2:8">
      <c r="B26" s="77">
        <f t="shared" si="6"/>
        <v>23</v>
      </c>
      <c r="C26" s="71">
        <f t="shared" si="0"/>
        <v>37.08</v>
      </c>
      <c r="D26" s="72">
        <f t="shared" si="1"/>
        <v>8.0620538224662077</v>
      </c>
      <c r="E26" s="73">
        <f t="shared" si="2"/>
        <v>0.35239348799999998</v>
      </c>
      <c r="F26" s="74">
        <f t="shared" si="3"/>
        <v>0.10364309372799999</v>
      </c>
      <c r="G26" s="75">
        <f t="shared" si="4"/>
        <v>0.24875039427199999</v>
      </c>
      <c r="H26" s="76">
        <f t="shared" si="5"/>
        <v>0.30758636451011256</v>
      </c>
    </row>
    <row r="27" spans="2:8">
      <c r="B27" s="77">
        <f t="shared" si="6"/>
        <v>24</v>
      </c>
      <c r="C27" s="71">
        <f t="shared" si="0"/>
        <v>36.08</v>
      </c>
      <c r="D27" s="72">
        <f t="shared" si="1"/>
        <v>5.2959539429642657</v>
      </c>
      <c r="E27" s="73">
        <f t="shared" si="2"/>
        <v>0.35779814399999998</v>
      </c>
      <c r="F27" s="74">
        <f t="shared" si="3"/>
        <v>0.10203847372799998</v>
      </c>
      <c r="G27" s="75">
        <f t="shared" si="4"/>
        <v>0.25575967027199997</v>
      </c>
      <c r="H27" s="76">
        <f t="shared" si="5"/>
        <v>0.33390043610143672</v>
      </c>
    </row>
    <row r="28" spans="2:8">
      <c r="B28" s="77">
        <f t="shared" si="6"/>
        <v>25</v>
      </c>
      <c r="C28" s="71">
        <f t="shared" si="0"/>
        <v>35.08</v>
      </c>
      <c r="D28" s="72">
        <f t="shared" si="1"/>
        <v>2.5298540634623241</v>
      </c>
      <c r="E28" s="73">
        <f t="shared" si="2"/>
        <v>0.36237639999999999</v>
      </c>
      <c r="F28" s="74">
        <f t="shared" si="3"/>
        <v>0.10066469372799999</v>
      </c>
      <c r="G28" s="75">
        <f t="shared" si="4"/>
        <v>0.26171170627200002</v>
      </c>
      <c r="H28" s="76">
        <f t="shared" si="5"/>
        <v>0.36144319263318125</v>
      </c>
    </row>
    <row r="29" spans="2:8">
      <c r="B29" s="77">
        <f t="shared" si="6"/>
        <v>26</v>
      </c>
      <c r="C29" s="71">
        <f t="shared" si="0"/>
        <v>34.08</v>
      </c>
      <c r="D29" s="72">
        <f t="shared" si="1"/>
        <v>-0.23624581603961739</v>
      </c>
      <c r="E29" s="73">
        <f t="shared" si="2"/>
        <v>0.36612825599999999</v>
      </c>
      <c r="F29" s="74">
        <f t="shared" si="3"/>
        <v>9.9521753727999998E-2</v>
      </c>
      <c r="G29" s="75">
        <f t="shared" si="4"/>
        <v>0.266606502272</v>
      </c>
      <c r="H29" s="76">
        <f t="shared" si="5"/>
        <v>0.39021463410534624</v>
      </c>
    </row>
    <row r="30" spans="2:8">
      <c r="B30" s="77">
        <f t="shared" si="6"/>
        <v>27</v>
      </c>
      <c r="C30" s="71">
        <f t="shared" si="0"/>
        <v>33.08</v>
      </c>
      <c r="D30" s="72">
        <f t="shared" si="1"/>
        <v>-3.0023456955415586</v>
      </c>
      <c r="E30" s="73">
        <f t="shared" si="2"/>
        <v>0.36905371199999998</v>
      </c>
      <c r="F30" s="74">
        <f t="shared" si="3"/>
        <v>9.8609653727999985E-2</v>
      </c>
      <c r="G30" s="75">
        <f t="shared" si="4"/>
        <v>0.27044405827200002</v>
      </c>
      <c r="H30" s="76">
        <f t="shared" si="5"/>
        <v>0.42021476051793155</v>
      </c>
    </row>
    <row r="31" spans="2:8">
      <c r="B31" s="78">
        <f t="shared" si="6"/>
        <v>28</v>
      </c>
      <c r="C31" s="79">
        <f t="shared" si="0"/>
        <v>32.08</v>
      </c>
      <c r="D31" s="80">
        <f t="shared" si="1"/>
        <v>-5.7684455750435006</v>
      </c>
      <c r="E31" s="81">
        <f t="shared" si="2"/>
        <v>0.37115276799999997</v>
      </c>
      <c r="F31" s="82">
        <f t="shared" si="3"/>
        <v>9.7928393727999982E-2</v>
      </c>
      <c r="G31" s="83">
        <f t="shared" si="4"/>
        <v>0.27322437427199997</v>
      </c>
      <c r="H31" s="84">
        <f t="shared" si="5"/>
        <v>0.45144357187093737</v>
      </c>
    </row>
    <row r="33" spans="1:9" ht="14">
      <c r="A33" s="96" t="s">
        <v>25</v>
      </c>
      <c r="B33" s="96"/>
      <c r="C33" s="96"/>
      <c r="D33" s="96"/>
      <c r="E33" s="96"/>
      <c r="F33" s="96"/>
    </row>
    <row r="34" spans="1:9" ht="15" customHeight="1">
      <c r="B34" s="85">
        <v>18</v>
      </c>
      <c r="C34" s="98" t="s">
        <v>26</v>
      </c>
      <c r="D34" s="98"/>
      <c r="E34" s="98"/>
      <c r="F34" s="98"/>
      <c r="G34" s="86"/>
      <c r="H34" s="86"/>
      <c r="I34" s="86"/>
    </row>
    <row r="35" spans="1:9" ht="15.5">
      <c r="B35" s="85">
        <v>0.1</v>
      </c>
      <c r="C35" s="50" t="s">
        <v>27</v>
      </c>
    </row>
    <row r="36" spans="1:9">
      <c r="B36" s="87">
        <f>$B$34-5*$B$35</f>
        <v>17.5</v>
      </c>
      <c r="C36" s="88">
        <f t="shared" ref="C36:C46" si="7">Lпр - $B36</f>
        <v>42.58</v>
      </c>
      <c r="D36" s="89">
        <f t="shared" ref="D36:D46" si="8">(Mполн * $C36 - Mст * Lпр/2 - Mпр2 * Lпр - M_2 * (Lпр + $B$4))/M_1</f>
        <v>23.275603159726867</v>
      </c>
      <c r="E36" s="90">
        <f t="shared" ref="E36:E46" si="9">Mполн * $B36 * $C36 /10000000</f>
        <v>0.30789597999999996</v>
      </c>
      <c r="F36" s="90">
        <f t="shared" ref="F36:F46" si="10">(Mст*(Lст^2/12+($C36 - Lпр/2)^2) + Mпр * $C36^2 + Mпр2 * $B36^2)/10000000</f>
        <v>0.116594768728</v>
      </c>
      <c r="G36" s="91">
        <f t="shared" ref="G36:G46" si="11">$E36 - $F36</f>
        <v>0.19130121127199995</v>
      </c>
      <c r="H36" s="92">
        <f t="shared" ref="H36:H46" si="12">(M_1 * ($C36-$D36)^2 + M_2 * ($B36+$B$4)^2)/10000000</f>
        <v>0.1848217140678447</v>
      </c>
    </row>
    <row r="37" spans="1:9">
      <c r="B37" s="77">
        <f t="shared" ref="B37:B46" si="13">$B36+$B$35</f>
        <v>17.600000000000001</v>
      </c>
      <c r="C37" s="71">
        <f t="shared" si="7"/>
        <v>42.48</v>
      </c>
      <c r="D37" s="72">
        <f t="shared" si="8"/>
        <v>22.998993171776664</v>
      </c>
      <c r="E37" s="74">
        <f t="shared" si="9"/>
        <v>0.30892815360000003</v>
      </c>
      <c r="F37" s="74">
        <f t="shared" si="10"/>
        <v>0.11629695692799999</v>
      </c>
      <c r="G37" s="75">
        <f t="shared" si="11"/>
        <v>0.19263119667200004</v>
      </c>
      <c r="H37" s="76">
        <f t="shared" si="12"/>
        <v>0.18672205368742703</v>
      </c>
    </row>
    <row r="38" spans="1:9">
      <c r="B38" s="77">
        <f t="shared" si="13"/>
        <v>17.700000000000003</v>
      </c>
      <c r="C38" s="71">
        <f t="shared" si="7"/>
        <v>42.379999999999995</v>
      </c>
      <c r="D38" s="72">
        <f t="shared" si="8"/>
        <v>22.722383183826462</v>
      </c>
      <c r="E38" s="74">
        <f t="shared" si="9"/>
        <v>0.30995206320000002</v>
      </c>
      <c r="F38" s="74">
        <f t="shared" si="10"/>
        <v>0.116001453528</v>
      </c>
      <c r="G38" s="75">
        <f t="shared" si="11"/>
        <v>0.19395060967200001</v>
      </c>
      <c r="H38" s="76">
        <f t="shared" si="12"/>
        <v>0.18863468015641355</v>
      </c>
    </row>
    <row r="39" spans="1:9">
      <c r="B39" s="77">
        <f t="shared" si="13"/>
        <v>17.800000000000004</v>
      </c>
      <c r="C39" s="71">
        <f t="shared" si="7"/>
        <v>42.279999999999994</v>
      </c>
      <c r="D39" s="72">
        <f t="shared" si="8"/>
        <v>22.44577319587626</v>
      </c>
      <c r="E39" s="74">
        <f t="shared" si="9"/>
        <v>0.31096770880000002</v>
      </c>
      <c r="F39" s="74">
        <f t="shared" si="10"/>
        <v>0.11570825852799997</v>
      </c>
      <c r="G39" s="75">
        <f t="shared" si="11"/>
        <v>0.19525945027200003</v>
      </c>
      <c r="H39" s="76">
        <f t="shared" si="12"/>
        <v>0.19055959347480428</v>
      </c>
    </row>
    <row r="40" spans="1:9">
      <c r="B40" s="77">
        <f t="shared" si="13"/>
        <v>17.900000000000006</v>
      </c>
      <c r="C40" s="71">
        <f t="shared" si="7"/>
        <v>42.179999999999993</v>
      </c>
      <c r="D40" s="72">
        <f t="shared" si="8"/>
        <v>22.169163207926097</v>
      </c>
      <c r="E40" s="74">
        <f t="shared" si="9"/>
        <v>0.31197509039999999</v>
      </c>
      <c r="F40" s="74">
        <f t="shared" si="10"/>
        <v>0.11541737192799996</v>
      </c>
      <c r="G40" s="75">
        <f t="shared" si="11"/>
        <v>0.19655771847200004</v>
      </c>
      <c r="H40" s="76">
        <f t="shared" si="12"/>
        <v>0.192496793642599</v>
      </c>
    </row>
    <row r="41" spans="1:9">
      <c r="B41" s="77">
        <f t="shared" si="13"/>
        <v>18.000000000000007</v>
      </c>
      <c r="C41" s="71">
        <f t="shared" si="7"/>
        <v>42.079999999999991</v>
      </c>
      <c r="D41" s="72">
        <f t="shared" si="8"/>
        <v>21.892553219975895</v>
      </c>
      <c r="E41" s="74">
        <f t="shared" si="9"/>
        <v>0.31297420800000003</v>
      </c>
      <c r="F41" s="74">
        <f t="shared" si="10"/>
        <v>0.11512879372799995</v>
      </c>
      <c r="G41" s="75">
        <f t="shared" si="11"/>
        <v>0.19784541427200009</v>
      </c>
      <c r="H41" s="76">
        <f t="shared" si="12"/>
        <v>0.19444628065979816</v>
      </c>
    </row>
    <row r="42" spans="1:9">
      <c r="B42" s="77">
        <f t="shared" si="13"/>
        <v>18.100000000000009</v>
      </c>
      <c r="C42" s="71">
        <f t="shared" si="7"/>
        <v>41.97999999999999</v>
      </c>
      <c r="D42" s="72">
        <f t="shared" si="8"/>
        <v>21.615943232025693</v>
      </c>
      <c r="E42" s="74">
        <f t="shared" si="9"/>
        <v>0.31396506160000009</v>
      </c>
      <c r="F42" s="74">
        <f t="shared" si="10"/>
        <v>0.11484252392799996</v>
      </c>
      <c r="G42" s="75">
        <f t="shared" si="11"/>
        <v>0.19912253767200014</v>
      </c>
      <c r="H42" s="76">
        <f t="shared" si="12"/>
        <v>0.1964080545264015</v>
      </c>
    </row>
    <row r="43" spans="1:9">
      <c r="B43" s="77">
        <f t="shared" si="13"/>
        <v>18.20000000000001</v>
      </c>
      <c r="C43" s="71">
        <f t="shared" si="7"/>
        <v>41.879999999999988</v>
      </c>
      <c r="D43" s="72">
        <f t="shared" si="8"/>
        <v>21.33933324407549</v>
      </c>
      <c r="E43" s="74">
        <f t="shared" si="9"/>
        <v>0.31494765120000007</v>
      </c>
      <c r="F43" s="74">
        <f t="shared" si="10"/>
        <v>0.11455856252799995</v>
      </c>
      <c r="G43" s="75">
        <f t="shared" si="11"/>
        <v>0.20038908867200012</v>
      </c>
      <c r="H43" s="76">
        <f t="shared" si="12"/>
        <v>0.19838211524240906</v>
      </c>
    </row>
    <row r="44" spans="1:9">
      <c r="B44" s="77">
        <f t="shared" si="13"/>
        <v>18.300000000000011</v>
      </c>
      <c r="C44" s="71">
        <f t="shared" si="7"/>
        <v>41.779999999999987</v>
      </c>
      <c r="D44" s="72">
        <f t="shared" si="8"/>
        <v>21.062723256125288</v>
      </c>
      <c r="E44" s="74">
        <f t="shared" si="9"/>
        <v>0.31592197680000011</v>
      </c>
      <c r="F44" s="74">
        <f t="shared" si="10"/>
        <v>0.11427690952799996</v>
      </c>
      <c r="G44" s="75">
        <f t="shared" si="11"/>
        <v>0.20164506727200016</v>
      </c>
      <c r="H44" s="76">
        <f t="shared" si="12"/>
        <v>0.20036846280782078</v>
      </c>
    </row>
    <row r="45" spans="1:9">
      <c r="B45" s="77">
        <f t="shared" si="13"/>
        <v>18.400000000000013</v>
      </c>
      <c r="C45" s="71">
        <f t="shared" si="7"/>
        <v>41.679999999999986</v>
      </c>
      <c r="D45" s="72">
        <f t="shared" si="8"/>
        <v>20.786113268175086</v>
      </c>
      <c r="E45" s="74">
        <f t="shared" si="9"/>
        <v>0.31688803840000013</v>
      </c>
      <c r="F45" s="74">
        <f t="shared" si="10"/>
        <v>0.11399756492799995</v>
      </c>
      <c r="G45" s="75">
        <f t="shared" si="11"/>
        <v>0.20289047347200018</v>
      </c>
      <c r="H45" s="76">
        <f t="shared" si="12"/>
        <v>0.20236709722263674</v>
      </c>
    </row>
    <row r="46" spans="1:9">
      <c r="B46" s="78">
        <f t="shared" si="13"/>
        <v>18.500000000000014</v>
      </c>
      <c r="C46" s="79">
        <f t="shared" si="7"/>
        <v>41.579999999999984</v>
      </c>
      <c r="D46" s="80">
        <f t="shared" si="8"/>
        <v>20.509503280224884</v>
      </c>
      <c r="E46" s="82">
        <f t="shared" si="9"/>
        <v>0.3178458360000001</v>
      </c>
      <c r="F46" s="82">
        <f t="shared" si="10"/>
        <v>0.11372052872799995</v>
      </c>
      <c r="G46" s="83">
        <f t="shared" si="11"/>
        <v>0.20412530727200015</v>
      </c>
      <c r="H46" s="84">
        <f t="shared" si="12"/>
        <v>0.20437801848685694</v>
      </c>
    </row>
    <row r="85" spans="1:5">
      <c r="A85" s="71"/>
      <c r="B85" s="71"/>
      <c r="C85" s="93"/>
      <c r="D85" s="74"/>
      <c r="E85" s="74"/>
    </row>
    <row r="86" spans="1:5">
      <c r="A86" s="71"/>
      <c r="B86" s="71"/>
      <c r="C86" s="93"/>
      <c r="D86" s="74"/>
      <c r="E86" s="74"/>
    </row>
    <row r="87" spans="1:5">
      <c r="A87" s="71"/>
      <c r="B87" s="71"/>
      <c r="C87" s="93"/>
      <c r="D87" s="74"/>
      <c r="E87" s="74"/>
    </row>
    <row r="88" spans="1:5">
      <c r="A88" s="71"/>
      <c r="B88" s="71"/>
      <c r="C88" s="93"/>
      <c r="D88" s="74"/>
      <c r="E88" s="74"/>
    </row>
    <row r="89" spans="1:5">
      <c r="A89" s="71"/>
      <c r="B89" s="71"/>
      <c r="C89" s="93"/>
      <c r="D89" s="74"/>
      <c r="E89" s="74"/>
    </row>
    <row r="90" spans="1:5">
      <c r="A90" s="71"/>
      <c r="B90" s="71"/>
      <c r="C90" s="93"/>
      <c r="D90" s="74"/>
      <c r="E90" s="74"/>
    </row>
    <row r="91" spans="1:5">
      <c r="A91" s="71"/>
      <c r="B91" s="71"/>
      <c r="C91" s="93"/>
      <c r="D91" s="74"/>
      <c r="E91" s="74"/>
    </row>
    <row r="92" spans="1:5">
      <c r="A92" s="71"/>
      <c r="B92" s="71"/>
      <c r="C92" s="93"/>
      <c r="D92" s="74"/>
      <c r="E92" s="74"/>
    </row>
    <row r="93" spans="1:5">
      <c r="A93" s="71"/>
      <c r="B93" s="71"/>
      <c r="C93" s="93"/>
      <c r="D93" s="74"/>
      <c r="E93" s="74"/>
    </row>
    <row r="94" spans="1:5">
      <c r="A94" s="71"/>
      <c r="B94" s="71"/>
      <c r="C94" s="93"/>
      <c r="D94" s="74"/>
      <c r="E94" s="74"/>
    </row>
    <row r="95" spans="1:5">
      <c r="A95" s="71"/>
      <c r="B95" s="71"/>
      <c r="C95" s="93"/>
      <c r="D95" s="74"/>
      <c r="E95" s="74"/>
    </row>
    <row r="96" spans="1:5">
      <c r="A96" s="71"/>
      <c r="B96" s="71"/>
      <c r="C96" s="93"/>
      <c r="D96" s="74"/>
      <c r="E96" s="74"/>
    </row>
  </sheetData>
  <sheetProtection sheet="1" objects="1" scenarios="1"/>
  <mergeCells count="6">
    <mergeCell ref="C34:F34"/>
    <mergeCell ref="A1:F1"/>
    <mergeCell ref="A3:F3"/>
    <mergeCell ref="A6:F6"/>
    <mergeCell ref="E7:H7"/>
    <mergeCell ref="A33:F33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K43" sqref="K43"/>
    </sheetView>
  </sheetViews>
  <sheetFormatPr defaultColWidth="11.54296875" defaultRowHeight="12.5"/>
  <sheetData>
    <row r="1" spans="1:10">
      <c r="A1" s="100" t="s">
        <v>42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>
      <c r="B2" t="s">
        <v>36</v>
      </c>
      <c r="C2" t="s">
        <v>37</v>
      </c>
      <c r="D2" t="s">
        <v>43</v>
      </c>
      <c r="E2" t="s">
        <v>38</v>
      </c>
      <c r="F2" t="s">
        <v>44</v>
      </c>
      <c r="G2" t="s">
        <v>39</v>
      </c>
      <c r="H2" t="s">
        <v>45</v>
      </c>
    </row>
    <row r="3" spans="1:10">
      <c r="B3" s="94">
        <v>1</v>
      </c>
      <c r="C3" s="71">
        <f t="shared" ref="C3:C32" si="0">Lпр-$B3</f>
        <v>59.08</v>
      </c>
      <c r="D3" s="93">
        <f t="shared" ref="D3:D32" si="1">C3/B3</f>
        <v>59.08</v>
      </c>
      <c r="E3" s="95">
        <f t="shared" ref="E3:E32" si="2">Mполн * $B3 * $C3/10000000</f>
        <v>2.4411855999999999E-2</v>
      </c>
      <c r="F3" s="74">
        <f t="shared" ref="F3:F32" si="3">(M_2*$B3^2)/10000000</f>
        <v>1.4841E-4</v>
      </c>
      <c r="G3" s="74">
        <f t="shared" ref="G3:G32" si="4">(Mст*(Lст^2/12+(Lпр/2-$C3)^2)+Mпр*$C3^2+Mпр2*$B3^2)/10000000</f>
        <v>0.19734725372799999</v>
      </c>
      <c r="H3" s="75">
        <f t="shared" ref="H3:H32" si="5">$F3+$G3</f>
        <v>0.19749566372799998</v>
      </c>
    </row>
    <row r="4" spans="1:10">
      <c r="B4" s="94">
        <v>2</v>
      </c>
      <c r="C4" s="71">
        <f t="shared" si="0"/>
        <v>58.08</v>
      </c>
      <c r="D4" s="93">
        <f t="shared" si="1"/>
        <v>29.04</v>
      </c>
      <c r="E4" s="95">
        <f t="shared" si="2"/>
        <v>4.7997312E-2</v>
      </c>
      <c r="F4" s="74">
        <f t="shared" si="3"/>
        <v>5.9363999999999999E-4</v>
      </c>
      <c r="G4" s="74">
        <f t="shared" si="4"/>
        <v>0.19066415372799997</v>
      </c>
      <c r="H4" s="75">
        <f t="shared" si="5"/>
        <v>0.19125779372799998</v>
      </c>
    </row>
    <row r="5" spans="1:10">
      <c r="B5" s="94">
        <v>3</v>
      </c>
      <c r="C5" s="71">
        <f t="shared" si="0"/>
        <v>57.08</v>
      </c>
      <c r="D5" s="93">
        <f t="shared" si="1"/>
        <v>19.026666666666667</v>
      </c>
      <c r="E5" s="95">
        <f t="shared" si="2"/>
        <v>7.0756368E-2</v>
      </c>
      <c r="F5" s="74">
        <f t="shared" si="3"/>
        <v>1.3356900000000001E-3</v>
      </c>
      <c r="G5" s="74">
        <f t="shared" si="4"/>
        <v>0.18421189372799995</v>
      </c>
      <c r="H5" s="75">
        <f t="shared" si="5"/>
        <v>0.18554758372799995</v>
      </c>
    </row>
    <row r="6" spans="1:10">
      <c r="B6" s="94">
        <v>4</v>
      </c>
      <c r="C6" s="71">
        <f t="shared" si="0"/>
        <v>56.08</v>
      </c>
      <c r="D6" s="93">
        <f t="shared" si="1"/>
        <v>14.02</v>
      </c>
      <c r="E6" s="95">
        <f t="shared" si="2"/>
        <v>9.2689023999999995E-2</v>
      </c>
      <c r="F6" s="74">
        <f t="shared" si="3"/>
        <v>2.37456E-3</v>
      </c>
      <c r="G6" s="74">
        <f t="shared" si="4"/>
        <v>0.17799047372799998</v>
      </c>
      <c r="H6" s="75">
        <f t="shared" si="5"/>
        <v>0.18036503372799997</v>
      </c>
    </row>
    <row r="7" spans="1:10">
      <c r="B7" s="94">
        <v>5</v>
      </c>
      <c r="C7" s="71">
        <f t="shared" si="0"/>
        <v>55.08</v>
      </c>
      <c r="D7" s="93">
        <f t="shared" si="1"/>
        <v>11.016</v>
      </c>
      <c r="E7" s="95">
        <f t="shared" si="2"/>
        <v>0.11379528</v>
      </c>
      <c r="F7" s="74">
        <f t="shared" si="3"/>
        <v>3.71025E-3</v>
      </c>
      <c r="G7" s="74">
        <f t="shared" si="4"/>
        <v>0.17199989372799998</v>
      </c>
      <c r="H7" s="75">
        <f t="shared" si="5"/>
        <v>0.17571014372799998</v>
      </c>
    </row>
    <row r="8" spans="1:10">
      <c r="B8" s="94">
        <v>6</v>
      </c>
      <c r="C8" s="71">
        <f t="shared" si="0"/>
        <v>54.08</v>
      </c>
      <c r="D8" s="93">
        <f t="shared" si="1"/>
        <v>9.0133333333333336</v>
      </c>
      <c r="E8" s="95">
        <f t="shared" si="2"/>
        <v>0.13407513599999998</v>
      </c>
      <c r="F8" s="74">
        <f t="shared" si="3"/>
        <v>5.3427600000000002E-3</v>
      </c>
      <c r="G8" s="74">
        <f t="shared" si="4"/>
        <v>0.166240153728</v>
      </c>
      <c r="H8" s="75">
        <f t="shared" si="5"/>
        <v>0.171582913728</v>
      </c>
    </row>
    <row r="9" spans="1:10">
      <c r="B9" s="94">
        <v>7</v>
      </c>
      <c r="C9" s="71">
        <f t="shared" si="0"/>
        <v>53.08</v>
      </c>
      <c r="D9" s="93">
        <f t="shared" si="1"/>
        <v>7.5828571428571427</v>
      </c>
      <c r="E9" s="95">
        <f t="shared" si="2"/>
        <v>0.15352859199999999</v>
      </c>
      <c r="F9" s="74">
        <f t="shared" si="3"/>
        <v>7.2720899999999993E-3</v>
      </c>
      <c r="G9" s="74">
        <f t="shared" si="4"/>
        <v>0.16071125372799999</v>
      </c>
      <c r="H9" s="75">
        <f t="shared" si="5"/>
        <v>0.167983343728</v>
      </c>
    </row>
    <row r="10" spans="1:10">
      <c r="B10" s="94">
        <v>8</v>
      </c>
      <c r="C10" s="71">
        <f t="shared" si="0"/>
        <v>52.08</v>
      </c>
      <c r="D10" s="93">
        <f t="shared" si="1"/>
        <v>6.51</v>
      </c>
      <c r="E10" s="95">
        <f t="shared" si="2"/>
        <v>0.17215564799999999</v>
      </c>
      <c r="F10" s="74">
        <f t="shared" si="3"/>
        <v>9.4982399999999998E-3</v>
      </c>
      <c r="G10" s="74">
        <f t="shared" si="4"/>
        <v>0.15541319372799997</v>
      </c>
      <c r="H10" s="75">
        <f t="shared" si="5"/>
        <v>0.16491143372799996</v>
      </c>
    </row>
    <row r="11" spans="1:10">
      <c r="B11" s="94">
        <v>9</v>
      </c>
      <c r="C11" s="71">
        <f t="shared" si="0"/>
        <v>51.08</v>
      </c>
      <c r="D11" s="93">
        <f t="shared" si="1"/>
        <v>5.6755555555555555</v>
      </c>
      <c r="E11" s="95">
        <f t="shared" si="2"/>
        <v>0.18995630399999999</v>
      </c>
      <c r="F11" s="74">
        <f t="shared" si="3"/>
        <v>1.2021209999999999E-2</v>
      </c>
      <c r="G11" s="74">
        <f t="shared" si="4"/>
        <v>0.15034597372799999</v>
      </c>
      <c r="H11" s="75">
        <f t="shared" si="5"/>
        <v>0.16236718372799999</v>
      </c>
    </row>
    <row r="12" spans="1:10">
      <c r="B12" s="94">
        <v>10</v>
      </c>
      <c r="C12" s="71">
        <f t="shared" si="0"/>
        <v>50.08</v>
      </c>
      <c r="D12" s="93">
        <f t="shared" si="1"/>
        <v>5.008</v>
      </c>
      <c r="E12" s="95">
        <f t="shared" si="2"/>
        <v>0.20693055999999999</v>
      </c>
      <c r="F12" s="74">
        <f t="shared" si="3"/>
        <v>1.4841E-2</v>
      </c>
      <c r="G12" s="74">
        <f t="shared" si="4"/>
        <v>0.14550959372799996</v>
      </c>
      <c r="H12" s="75">
        <f t="shared" si="5"/>
        <v>0.16035059372799995</v>
      </c>
    </row>
    <row r="13" spans="1:10">
      <c r="B13" s="94">
        <v>11</v>
      </c>
      <c r="C13" s="71">
        <f t="shared" si="0"/>
        <v>49.08</v>
      </c>
      <c r="D13" s="93">
        <f t="shared" si="1"/>
        <v>4.4618181818181819</v>
      </c>
      <c r="E13" s="95">
        <f t="shared" si="2"/>
        <v>0.223078416</v>
      </c>
      <c r="F13" s="74">
        <f t="shared" si="3"/>
        <v>1.7957609999999999E-2</v>
      </c>
      <c r="G13" s="74">
        <f t="shared" si="4"/>
        <v>0.14090405372799999</v>
      </c>
      <c r="H13" s="75">
        <f t="shared" si="5"/>
        <v>0.15886166372799998</v>
      </c>
    </row>
    <row r="14" spans="1:10">
      <c r="B14" s="94">
        <v>12</v>
      </c>
      <c r="C14" s="71">
        <f t="shared" si="0"/>
        <v>48.08</v>
      </c>
      <c r="D14" s="93">
        <f t="shared" si="1"/>
        <v>4.0066666666666668</v>
      </c>
      <c r="E14" s="95">
        <f t="shared" si="2"/>
        <v>0.23839987199999998</v>
      </c>
      <c r="F14" s="74">
        <f t="shared" si="3"/>
        <v>2.1371040000000001E-2</v>
      </c>
      <c r="G14" s="74">
        <f t="shared" si="4"/>
        <v>0.13652935372799999</v>
      </c>
      <c r="H14" s="75">
        <f t="shared" si="5"/>
        <v>0.15790039372799999</v>
      </c>
    </row>
    <row r="15" spans="1:10">
      <c r="B15" s="94">
        <v>13</v>
      </c>
      <c r="C15" s="71">
        <f t="shared" si="0"/>
        <v>47.08</v>
      </c>
      <c r="D15" s="93">
        <f t="shared" si="1"/>
        <v>3.6215384615384614</v>
      </c>
      <c r="E15" s="95">
        <f t="shared" si="2"/>
        <v>0.25289492799999996</v>
      </c>
      <c r="F15" s="74">
        <f t="shared" si="3"/>
        <v>2.5081289999999999E-2</v>
      </c>
      <c r="G15" s="74">
        <f t="shared" si="4"/>
        <v>0.13238549372799999</v>
      </c>
      <c r="H15" s="75">
        <f t="shared" si="5"/>
        <v>0.15746678372799999</v>
      </c>
    </row>
    <row r="16" spans="1:10">
      <c r="B16" s="94">
        <v>14</v>
      </c>
      <c r="C16" s="71">
        <f t="shared" si="0"/>
        <v>46.08</v>
      </c>
      <c r="D16" s="93">
        <f t="shared" si="1"/>
        <v>3.2914285714285714</v>
      </c>
      <c r="E16" s="95">
        <f t="shared" si="2"/>
        <v>0.26656358399999996</v>
      </c>
      <c r="F16" s="74">
        <f t="shared" si="3"/>
        <v>2.9088359999999997E-2</v>
      </c>
      <c r="G16" s="74">
        <f t="shared" si="4"/>
        <v>0.12847247372799997</v>
      </c>
      <c r="H16" s="75">
        <f t="shared" si="5"/>
        <v>0.15756083372799998</v>
      </c>
    </row>
    <row r="17" spans="1:8">
      <c r="B17" s="94">
        <v>15</v>
      </c>
      <c r="C17" s="71">
        <f t="shared" si="0"/>
        <v>45.08</v>
      </c>
      <c r="D17" s="93">
        <f t="shared" si="1"/>
        <v>3.0053333333333332</v>
      </c>
      <c r="E17" s="95">
        <f t="shared" si="2"/>
        <v>0.27940584000000002</v>
      </c>
      <c r="F17" s="74">
        <f t="shared" si="3"/>
        <v>3.3392249999999998E-2</v>
      </c>
      <c r="G17" s="74">
        <f t="shared" si="4"/>
        <v>0.12479029372799999</v>
      </c>
      <c r="H17" s="75">
        <f t="shared" si="5"/>
        <v>0.158182543728</v>
      </c>
    </row>
    <row r="18" spans="1:8">
      <c r="B18" s="94">
        <v>16</v>
      </c>
      <c r="C18" s="71">
        <f t="shared" si="0"/>
        <v>44.08</v>
      </c>
      <c r="D18" s="93">
        <f t="shared" si="1"/>
        <v>2.7549999999999999</v>
      </c>
      <c r="E18" s="95">
        <f t="shared" si="2"/>
        <v>0.29142169600000001</v>
      </c>
      <c r="F18" s="74">
        <f t="shared" si="3"/>
        <v>3.7992959999999999E-2</v>
      </c>
      <c r="G18" s="74">
        <f t="shared" si="4"/>
        <v>0.12133895372800001</v>
      </c>
      <c r="H18" s="75">
        <f t="shared" si="5"/>
        <v>0.15933191372800001</v>
      </c>
    </row>
    <row r="19" spans="1:8">
      <c r="B19" s="94">
        <v>17</v>
      </c>
      <c r="C19" s="71">
        <f t="shared" si="0"/>
        <v>43.08</v>
      </c>
      <c r="D19" s="93">
        <f t="shared" si="1"/>
        <v>2.5341176470588236</v>
      </c>
      <c r="E19" s="95">
        <f t="shared" si="2"/>
        <v>0.30261115199999999</v>
      </c>
      <c r="F19" s="74">
        <f t="shared" si="3"/>
        <v>4.2890489999999996E-2</v>
      </c>
      <c r="G19" s="74">
        <f t="shared" si="4"/>
        <v>0.11811845372799998</v>
      </c>
      <c r="H19" s="75">
        <f t="shared" si="5"/>
        <v>0.16100894372799998</v>
      </c>
    </row>
    <row r="20" spans="1:8">
      <c r="B20" s="94">
        <v>18</v>
      </c>
      <c r="C20" s="71">
        <f t="shared" si="0"/>
        <v>42.08</v>
      </c>
      <c r="D20" s="93">
        <f t="shared" si="1"/>
        <v>2.3377777777777777</v>
      </c>
      <c r="E20" s="95">
        <f t="shared" si="2"/>
        <v>0.31297420800000003</v>
      </c>
      <c r="F20" s="74">
        <f t="shared" si="3"/>
        <v>4.8084839999999997E-2</v>
      </c>
      <c r="G20" s="74">
        <f t="shared" si="4"/>
        <v>0.11512879372799997</v>
      </c>
      <c r="H20" s="75">
        <f t="shared" si="5"/>
        <v>0.16321363372799996</v>
      </c>
    </row>
    <row r="21" spans="1:8">
      <c r="B21" s="94">
        <v>19</v>
      </c>
      <c r="C21" s="71">
        <f t="shared" si="0"/>
        <v>41.08</v>
      </c>
      <c r="D21" s="93">
        <f t="shared" si="1"/>
        <v>2.1621052631578945</v>
      </c>
      <c r="E21" s="95">
        <f t="shared" si="2"/>
        <v>0.32251086399999995</v>
      </c>
      <c r="F21" s="74">
        <f t="shared" si="3"/>
        <v>5.357601E-2</v>
      </c>
      <c r="G21" s="74">
        <f t="shared" si="4"/>
        <v>0.11236997372800001</v>
      </c>
      <c r="H21" s="75">
        <f t="shared" si="5"/>
        <v>0.16594598372800001</v>
      </c>
    </row>
    <row r="22" spans="1:8">
      <c r="B22" s="94">
        <v>20</v>
      </c>
      <c r="C22" s="71">
        <f t="shared" si="0"/>
        <v>40.08</v>
      </c>
      <c r="D22" s="93">
        <f t="shared" si="1"/>
        <v>2.004</v>
      </c>
      <c r="E22" s="95">
        <f t="shared" si="2"/>
        <v>0.33122111999999998</v>
      </c>
      <c r="F22" s="74">
        <f t="shared" si="3"/>
        <v>5.9364E-2</v>
      </c>
      <c r="G22" s="74">
        <f t="shared" si="4"/>
        <v>0.10984199372799999</v>
      </c>
      <c r="H22" s="75">
        <f t="shared" si="5"/>
        <v>0.16920599372799999</v>
      </c>
    </row>
    <row r="23" spans="1:8">
      <c r="B23" s="94">
        <v>21</v>
      </c>
      <c r="C23" s="71">
        <f t="shared" si="0"/>
        <v>39.08</v>
      </c>
      <c r="D23" s="93">
        <f t="shared" si="1"/>
        <v>1.8609523809523809</v>
      </c>
      <c r="E23" s="95">
        <f t="shared" si="2"/>
        <v>0.339104976</v>
      </c>
      <c r="F23" s="74">
        <f t="shared" si="3"/>
        <v>6.5448809999999996E-2</v>
      </c>
      <c r="G23" s="74">
        <f t="shared" si="4"/>
        <v>0.107544853728</v>
      </c>
      <c r="H23" s="75">
        <f t="shared" si="5"/>
        <v>0.17299366372800001</v>
      </c>
    </row>
    <row r="24" spans="1:8">
      <c r="B24" s="94">
        <v>22</v>
      </c>
      <c r="C24" s="71">
        <f t="shared" si="0"/>
        <v>38.08</v>
      </c>
      <c r="D24" s="93">
        <f t="shared" si="1"/>
        <v>1.7309090909090907</v>
      </c>
      <c r="E24" s="95">
        <f t="shared" si="2"/>
        <v>0.34616243199999996</v>
      </c>
      <c r="F24" s="74">
        <f t="shared" si="3"/>
        <v>7.1830439999999995E-2</v>
      </c>
      <c r="G24" s="74">
        <f t="shared" si="4"/>
        <v>0.10547855372800001</v>
      </c>
      <c r="H24" s="75">
        <f t="shared" si="5"/>
        <v>0.17730899372800002</v>
      </c>
    </row>
    <row r="25" spans="1:8">
      <c r="B25" s="94">
        <v>23</v>
      </c>
      <c r="C25" s="71">
        <f t="shared" si="0"/>
        <v>37.08</v>
      </c>
      <c r="D25" s="93">
        <f t="shared" si="1"/>
        <v>1.6121739130434782</v>
      </c>
      <c r="E25" s="95">
        <f t="shared" si="2"/>
        <v>0.35239348799999998</v>
      </c>
      <c r="F25" s="74">
        <f t="shared" si="3"/>
        <v>7.8508889999999984E-2</v>
      </c>
      <c r="G25" s="74">
        <f t="shared" si="4"/>
        <v>0.10364309372799999</v>
      </c>
      <c r="H25" s="75">
        <f t="shared" si="5"/>
        <v>0.18215198372799996</v>
      </c>
    </row>
    <row r="26" spans="1:8">
      <c r="B26" s="94">
        <v>24</v>
      </c>
      <c r="C26" s="71">
        <f t="shared" si="0"/>
        <v>36.08</v>
      </c>
      <c r="D26" s="93">
        <f t="shared" si="1"/>
        <v>1.5033333333333332</v>
      </c>
      <c r="E26" s="95">
        <f t="shared" si="2"/>
        <v>0.35779814399999998</v>
      </c>
      <c r="F26" s="74">
        <f t="shared" si="3"/>
        <v>8.5484160000000003E-2</v>
      </c>
      <c r="G26" s="74">
        <f t="shared" si="4"/>
        <v>0.10203847372799998</v>
      </c>
      <c r="H26" s="75">
        <f t="shared" si="5"/>
        <v>0.18752263372799999</v>
      </c>
    </row>
    <row r="27" spans="1:8">
      <c r="B27" s="94">
        <v>25</v>
      </c>
      <c r="C27" s="71">
        <f t="shared" si="0"/>
        <v>35.08</v>
      </c>
      <c r="D27" s="93">
        <f t="shared" si="1"/>
        <v>1.4032</v>
      </c>
      <c r="E27" s="95">
        <f t="shared" si="2"/>
        <v>0.36237639999999999</v>
      </c>
      <c r="F27" s="74">
        <f t="shared" si="3"/>
        <v>9.2756249999999998E-2</v>
      </c>
      <c r="G27" s="74">
        <f t="shared" si="4"/>
        <v>0.10066469372799999</v>
      </c>
      <c r="H27" s="75">
        <f t="shared" si="5"/>
        <v>0.19342094372800001</v>
      </c>
    </row>
    <row r="28" spans="1:8">
      <c r="A28" s="71"/>
      <c r="B28" s="94">
        <v>26</v>
      </c>
      <c r="C28" s="71">
        <f t="shared" si="0"/>
        <v>34.08</v>
      </c>
      <c r="D28" s="93">
        <f t="shared" si="1"/>
        <v>1.3107692307692307</v>
      </c>
      <c r="E28" s="95">
        <f t="shared" si="2"/>
        <v>0.36612825599999999</v>
      </c>
      <c r="F28" s="74">
        <f t="shared" si="3"/>
        <v>0.10032516</v>
      </c>
      <c r="G28" s="74">
        <f t="shared" si="4"/>
        <v>9.9521753727999998E-2</v>
      </c>
      <c r="H28" s="75">
        <f t="shared" si="5"/>
        <v>0.19984691372800001</v>
      </c>
    </row>
    <row r="29" spans="1:8">
      <c r="A29" s="71"/>
      <c r="B29" s="94">
        <v>27</v>
      </c>
      <c r="C29" s="71">
        <f t="shared" si="0"/>
        <v>33.08</v>
      </c>
      <c r="D29" s="93">
        <f t="shared" si="1"/>
        <v>1.2251851851851852</v>
      </c>
      <c r="E29" s="95">
        <f t="shared" si="2"/>
        <v>0.36905371199999998</v>
      </c>
      <c r="F29" s="74">
        <f t="shared" si="3"/>
        <v>0.10819088999999998</v>
      </c>
      <c r="G29" s="74">
        <f t="shared" si="4"/>
        <v>9.8609653727999985E-2</v>
      </c>
      <c r="H29" s="75">
        <f t="shared" si="5"/>
        <v>0.20680054372799997</v>
      </c>
    </row>
    <row r="30" spans="1:8">
      <c r="A30" s="71"/>
      <c r="B30" s="94">
        <v>28</v>
      </c>
      <c r="C30" s="71">
        <f t="shared" si="0"/>
        <v>32.08</v>
      </c>
      <c r="D30" s="93">
        <f t="shared" si="1"/>
        <v>1.1457142857142857</v>
      </c>
      <c r="E30" s="95">
        <f t="shared" si="2"/>
        <v>0.37115276799999997</v>
      </c>
      <c r="F30" s="74">
        <f t="shared" si="3"/>
        <v>0.11635343999999999</v>
      </c>
      <c r="G30" s="74">
        <f t="shared" si="4"/>
        <v>9.7928393727999982E-2</v>
      </c>
      <c r="H30" s="75">
        <f t="shared" si="5"/>
        <v>0.21428183372799997</v>
      </c>
    </row>
    <row r="31" spans="1:8">
      <c r="A31" s="71"/>
      <c r="B31" s="94">
        <v>29</v>
      </c>
      <c r="C31" s="71">
        <f t="shared" si="0"/>
        <v>31.08</v>
      </c>
      <c r="D31" s="93">
        <f t="shared" si="1"/>
        <v>1.0717241379310345</v>
      </c>
      <c r="E31" s="95">
        <f t="shared" si="2"/>
        <v>0.37242542399999995</v>
      </c>
      <c r="F31" s="74">
        <f t="shared" si="3"/>
        <v>0.12481280999999998</v>
      </c>
      <c r="G31" s="74">
        <f t="shared" si="4"/>
        <v>9.7477973728000003E-2</v>
      </c>
      <c r="H31" s="75">
        <f t="shared" si="5"/>
        <v>0.22229078372799999</v>
      </c>
    </row>
    <row r="32" spans="1:8">
      <c r="A32" s="71"/>
      <c r="B32" s="94">
        <v>30</v>
      </c>
      <c r="C32" s="71">
        <f t="shared" si="0"/>
        <v>30.08</v>
      </c>
      <c r="D32" s="93">
        <f t="shared" si="1"/>
        <v>1.0026666666666666</v>
      </c>
      <c r="E32" s="95">
        <f t="shared" si="2"/>
        <v>0.37287167999999998</v>
      </c>
      <c r="F32" s="74">
        <f t="shared" si="3"/>
        <v>0.13356899999999999</v>
      </c>
      <c r="G32" s="74">
        <f t="shared" si="4"/>
        <v>9.7258393727999992E-2</v>
      </c>
      <c r="H32" s="75">
        <f t="shared" si="5"/>
        <v>0.23082739372799999</v>
      </c>
    </row>
  </sheetData>
  <sheetProtection sheet="1" objects="1" scenarios="1"/>
  <mergeCells count="1">
    <mergeCell ref="A1:J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54296875" defaultRowHeight="12.5"/>
  <sheetData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</vt:i4>
      </vt:variant>
    </vt:vector>
  </HeadingPairs>
  <TitlesOfParts>
    <vt:vector size="17" baseType="lpstr">
      <vt:lpstr>Лист1</vt:lpstr>
      <vt:lpstr>Лист2</vt:lpstr>
      <vt:lpstr>Лист3</vt:lpstr>
      <vt:lpstr>Лист4</vt:lpstr>
      <vt:lpstr>Jполн</vt:lpstr>
      <vt:lpstr>Jст</vt:lpstr>
      <vt:lpstr>L_1</vt:lpstr>
      <vt:lpstr>L_2</vt:lpstr>
      <vt:lpstr>Lambda</vt:lpstr>
      <vt:lpstr>Lпр</vt:lpstr>
      <vt:lpstr>Lст</vt:lpstr>
      <vt:lpstr>M_1</vt:lpstr>
      <vt:lpstr>M_2</vt:lpstr>
      <vt:lpstr>Mполн</vt:lpstr>
      <vt:lpstr>Mпр</vt:lpstr>
      <vt:lpstr>Mпр2</vt:lpstr>
      <vt:lpstr>Mст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Павел Владимирович Попов</dc:creator>
  <dc:description/>
  <cp:lastModifiedBy>User</cp:lastModifiedBy>
  <cp:revision>59</cp:revision>
  <dcterms:created xsi:type="dcterms:W3CDTF">2021-10-10T23:31:48Z</dcterms:created>
  <dcterms:modified xsi:type="dcterms:W3CDTF">2025-12-03T00:13:02Z</dcterms:modified>
  <dc:language>ru-RU</dc:language>
</cp:coreProperties>
</file>