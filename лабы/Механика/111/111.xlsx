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40" windowWidth="21980" windowHeight="10550"/>
  </bookViews>
  <sheets>
    <sheet name="Лист1" sheetId="1" r:id="rId1"/>
    <sheet name="Лист2" sheetId="2" r:id="rId2"/>
    <sheet name="Лист3" sheetId="3" r:id="rId3"/>
  </sheets>
  <calcPr calcId="124519" refMode="R1C1"/>
</workbook>
</file>

<file path=xl/calcChain.xml><?xml version="1.0" encoding="utf-8"?>
<calcChain xmlns="http://schemas.openxmlformats.org/spreadsheetml/2006/main">
  <c r="V31" i="1"/>
  <c r="V32"/>
  <c r="V33"/>
  <c r="V34"/>
  <c r="V35"/>
  <c r="V36"/>
  <c r="V37"/>
  <c r="V38"/>
  <c r="V39"/>
  <c r="V40"/>
  <c r="V41"/>
  <c r="V42"/>
  <c r="V43"/>
  <c r="V30"/>
  <c r="M31"/>
  <c r="M32"/>
  <c r="M33"/>
  <c r="M34"/>
  <c r="M35"/>
  <c r="M36"/>
  <c r="M37"/>
  <c r="M38"/>
  <c r="M39"/>
  <c r="M40"/>
  <c r="M41"/>
  <c r="M42"/>
  <c r="M43"/>
  <c r="M30"/>
  <c r="E31"/>
  <c r="E32"/>
  <c r="E33"/>
  <c r="E34"/>
  <c r="E35"/>
  <c r="E36"/>
  <c r="E37"/>
  <c r="E38"/>
  <c r="E39"/>
  <c r="E40"/>
  <c r="E41"/>
  <c r="E42"/>
  <c r="E43"/>
  <c r="E30"/>
  <c r="U45"/>
  <c r="L45"/>
  <c r="D45"/>
  <c r="X43"/>
  <c r="W43"/>
  <c r="X42"/>
  <c r="W42"/>
  <c r="X41"/>
  <c r="W41"/>
  <c r="X40"/>
  <c r="W40"/>
  <c r="X39"/>
  <c r="W39"/>
  <c r="X38"/>
  <c r="W38"/>
  <c r="X37"/>
  <c r="W37"/>
  <c r="X36"/>
  <c r="W36"/>
  <c r="X35"/>
  <c r="W35"/>
  <c r="X34"/>
  <c r="W34"/>
  <c r="X33"/>
  <c r="W33"/>
  <c r="X32"/>
  <c r="X45" s="1"/>
  <c r="W32"/>
  <c r="W45" s="1"/>
  <c r="X31"/>
  <c r="W31"/>
  <c r="X30"/>
  <c r="W30"/>
  <c r="O43"/>
  <c r="N43"/>
  <c r="O42"/>
  <c r="N42"/>
  <c r="O41"/>
  <c r="N41"/>
  <c r="O40"/>
  <c r="N40"/>
  <c r="O39"/>
  <c r="N39"/>
  <c r="O38"/>
  <c r="N38"/>
  <c r="O37"/>
  <c r="N37"/>
  <c r="O36"/>
  <c r="N36"/>
  <c r="O35"/>
  <c r="N35"/>
  <c r="O34"/>
  <c r="N34"/>
  <c r="O33"/>
  <c r="N33"/>
  <c r="O32"/>
  <c r="O45" s="1"/>
  <c r="N32"/>
  <c r="N45" s="1"/>
  <c r="O31"/>
  <c r="N31"/>
  <c r="O30"/>
  <c r="N30"/>
  <c r="G45"/>
  <c r="F45"/>
  <c r="G31"/>
  <c r="G32"/>
  <c r="G33"/>
  <c r="G34"/>
  <c r="G35"/>
  <c r="G36"/>
  <c r="G37"/>
  <c r="G38"/>
  <c r="G39"/>
  <c r="G40"/>
  <c r="G41"/>
  <c r="G42"/>
  <c r="G43"/>
  <c r="F31"/>
  <c r="F32"/>
  <c r="F33"/>
  <c r="F34"/>
  <c r="F35"/>
  <c r="F36"/>
  <c r="F37"/>
  <c r="F38"/>
  <c r="F39"/>
  <c r="F40"/>
  <c r="F41"/>
  <c r="F42"/>
  <c r="F43"/>
  <c r="G30"/>
  <c r="F30"/>
  <c r="T43"/>
  <c r="U43" s="1"/>
  <c r="U42"/>
  <c r="T42"/>
  <c r="T41"/>
  <c r="U41" s="1"/>
  <c r="T40"/>
  <c r="U40" s="1"/>
  <c r="U39"/>
  <c r="T39"/>
  <c r="T38"/>
  <c r="U38" s="1"/>
  <c r="T37"/>
  <c r="U37" s="1"/>
  <c r="T36"/>
  <c r="U36" s="1"/>
  <c r="U35"/>
  <c r="T35"/>
  <c r="U34"/>
  <c r="T34"/>
  <c r="T33"/>
  <c r="U33" s="1"/>
  <c r="U32"/>
  <c r="T32"/>
  <c r="U31"/>
  <c r="T31"/>
  <c r="T30"/>
  <c r="U30" s="1"/>
  <c r="K43"/>
  <c r="L43" s="1"/>
  <c r="L42"/>
  <c r="K42"/>
  <c r="K41"/>
  <c r="L41" s="1"/>
  <c r="K40"/>
  <c r="L40" s="1"/>
  <c r="K39"/>
  <c r="L39" s="1"/>
  <c r="L38"/>
  <c r="K38"/>
  <c r="K37"/>
  <c r="L37" s="1"/>
  <c r="K36"/>
  <c r="L36" s="1"/>
  <c r="L35"/>
  <c r="K35"/>
  <c r="K34"/>
  <c r="L34" s="1"/>
  <c r="K33"/>
  <c r="L33" s="1"/>
  <c r="K32"/>
  <c r="L32" s="1"/>
  <c r="L30"/>
  <c r="K30"/>
  <c r="L31"/>
  <c r="K31"/>
  <c r="C42"/>
  <c r="D42" s="1"/>
  <c r="C41"/>
  <c r="D41" s="1"/>
  <c r="C40"/>
  <c r="D40" s="1"/>
  <c r="C39"/>
  <c r="D39" s="1"/>
  <c r="C38"/>
  <c r="D38" s="1"/>
  <c r="C37"/>
  <c r="D37" s="1"/>
  <c r="C36"/>
  <c r="D36" s="1"/>
  <c r="C35"/>
  <c r="D35" s="1"/>
  <c r="C34"/>
  <c r="D34" s="1"/>
  <c r="C33"/>
  <c r="D33" s="1"/>
  <c r="C32"/>
  <c r="D32" s="1"/>
  <c r="C31"/>
  <c r="D31" s="1"/>
  <c r="C30"/>
  <c r="D30" s="1"/>
  <c r="C43"/>
  <c r="D43" s="1"/>
  <c r="O2"/>
  <c r="P2" s="1"/>
  <c r="O3"/>
  <c r="P3" s="1"/>
  <c r="O4"/>
  <c r="P4" s="1"/>
  <c r="O5"/>
  <c r="P5" s="1"/>
  <c r="O6"/>
  <c r="P6" s="1"/>
  <c r="O7"/>
  <c r="P7" s="1"/>
  <c r="O8"/>
  <c r="P8" s="1"/>
  <c r="O9"/>
  <c r="P9" s="1"/>
  <c r="O10"/>
  <c r="P10" s="1"/>
  <c r="O11"/>
  <c r="P11" s="1"/>
  <c r="O12"/>
  <c r="P12" s="1"/>
  <c r="O13"/>
  <c r="P13" s="1"/>
  <c r="O14"/>
  <c r="P14" s="1"/>
  <c r="O15"/>
  <c r="P15" s="1"/>
  <c r="O16"/>
  <c r="P16" s="1"/>
  <c r="I3"/>
  <c r="J3" s="1"/>
  <c r="I4"/>
  <c r="J4" s="1"/>
  <c r="I5"/>
  <c r="J5" s="1"/>
  <c r="I6"/>
  <c r="J6" s="1"/>
  <c r="I7"/>
  <c r="J7" s="1"/>
  <c r="I8"/>
  <c r="J8" s="1"/>
  <c r="I9"/>
  <c r="J9" s="1"/>
  <c r="I10"/>
  <c r="J10" s="1"/>
  <c r="I11"/>
  <c r="J11" s="1"/>
  <c r="I12"/>
  <c r="J12" s="1"/>
  <c r="I13"/>
  <c r="J13" s="1"/>
  <c r="I14"/>
  <c r="J14" s="1"/>
  <c r="I15"/>
  <c r="J15" s="1"/>
  <c r="I16"/>
  <c r="J16" s="1"/>
  <c r="I17"/>
  <c r="J17" s="1"/>
  <c r="I18"/>
  <c r="J18" s="1"/>
  <c r="I19"/>
  <c r="J19" s="1"/>
  <c r="I2"/>
  <c r="J2" s="1"/>
  <c r="C3"/>
  <c r="D3" s="1"/>
  <c r="C4"/>
  <c r="D4" s="1"/>
  <c r="C5"/>
  <c r="D5" s="1"/>
  <c r="C6"/>
  <c r="D6" s="1"/>
  <c r="C7"/>
  <c r="D7" s="1"/>
  <c r="C8"/>
  <c r="D8" s="1"/>
  <c r="C9"/>
  <c r="D9" s="1"/>
  <c r="C10"/>
  <c r="D10" s="1"/>
  <c r="C11"/>
  <c r="D11" s="1"/>
  <c r="C12"/>
  <c r="D12" s="1"/>
  <c r="C13"/>
  <c r="D13" s="1"/>
  <c r="C14"/>
  <c r="D14" s="1"/>
  <c r="C15"/>
  <c r="D15" s="1"/>
  <c r="C16"/>
  <c r="D16" s="1"/>
  <c r="C17"/>
  <c r="D17" s="1"/>
  <c r="C18"/>
  <c r="D18" s="1"/>
  <c r="C19"/>
  <c r="D19" s="1"/>
  <c r="C20"/>
  <c r="D20" s="1"/>
  <c r="C21"/>
  <c r="D21" s="1"/>
  <c r="C22"/>
  <c r="D22" s="1"/>
  <c r="C23"/>
  <c r="D23" s="1"/>
  <c r="C24"/>
  <c r="D24" s="1"/>
  <c r="C25"/>
  <c r="D25" s="1"/>
  <c r="C2"/>
  <c r="D2" s="1"/>
  <c r="V45" l="1"/>
  <c r="M45"/>
  <c r="E45"/>
</calcChain>
</file>

<file path=xl/sharedStrings.xml><?xml version="1.0" encoding="utf-8"?>
<sst xmlns="http://schemas.openxmlformats.org/spreadsheetml/2006/main" count="38" uniqueCount="12">
  <si>
    <t>I, mA</t>
  </si>
  <si>
    <t>U, дел</t>
  </si>
  <si>
    <t>&lt;- 50 см</t>
  </si>
  <si>
    <t>&lt;- 30 см</t>
  </si>
  <si>
    <t>U, mV</t>
  </si>
  <si>
    <t>&lt;- 20 см</t>
  </si>
  <si>
    <t>R, Ом</t>
  </si>
  <si>
    <t>Rпр1, Ом</t>
  </si>
  <si>
    <t>Rср</t>
  </si>
  <si>
    <t>отд</t>
  </si>
  <si>
    <t>VI</t>
  </si>
  <si>
    <t>II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</si>
</sst>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5"/>
  <sheetViews>
    <sheetView tabSelected="1" topLeftCell="A19" workbookViewId="0">
      <selection activeCell="V30" sqref="V30:V43"/>
    </sheetView>
  </sheetViews>
  <sheetFormatPr defaultRowHeight="14.5"/>
  <sheetData>
    <row r="1" spans="1:17">
      <c r="A1" t="s">
        <v>0</v>
      </c>
      <c r="B1" t="s">
        <v>1</v>
      </c>
      <c r="C1" t="s">
        <v>4</v>
      </c>
      <c r="D1" t="s">
        <v>6</v>
      </c>
      <c r="E1" t="s">
        <v>2</v>
      </c>
      <c r="G1" t="s">
        <v>0</v>
      </c>
      <c r="H1" t="s">
        <v>1</v>
      </c>
      <c r="I1" t="s">
        <v>4</v>
      </c>
      <c r="J1" t="s">
        <v>6</v>
      </c>
      <c r="K1" t="s">
        <v>3</v>
      </c>
      <c r="M1" t="s">
        <v>0</v>
      </c>
      <c r="N1" t="s">
        <v>1</v>
      </c>
      <c r="O1" t="s">
        <v>4</v>
      </c>
      <c r="P1" t="s">
        <v>6</v>
      </c>
      <c r="Q1" t="s">
        <v>5</v>
      </c>
    </row>
    <row r="2" spans="1:17">
      <c r="A2">
        <v>150.26</v>
      </c>
      <c r="B2">
        <v>150</v>
      </c>
      <c r="C2">
        <f>B2*5</f>
        <v>750</v>
      </c>
      <c r="D2">
        <f>C2/A2</f>
        <v>4.9913483295620926</v>
      </c>
      <c r="G2">
        <v>18.399999999999999</v>
      </c>
      <c r="H2">
        <v>10</v>
      </c>
      <c r="I2">
        <f>H2*5</f>
        <v>50</v>
      </c>
      <c r="J2">
        <f t="shared" ref="J2:J19" si="0">I2/G2</f>
        <v>2.7173913043478262</v>
      </c>
      <c r="M2">
        <v>69.900000000000006</v>
      </c>
      <c r="N2">
        <v>28</v>
      </c>
      <c r="O2">
        <f t="shared" ref="O2:O15" si="1">N2*5</f>
        <v>140</v>
      </c>
      <c r="P2">
        <f t="shared" ref="P2:P16" si="2">O2/M2</f>
        <v>2.0028612303290414</v>
      </c>
    </row>
    <row r="3" spans="1:17">
      <c r="A3">
        <v>123.22</v>
      </c>
      <c r="B3">
        <v>122</v>
      </c>
      <c r="C3">
        <f t="shared" ref="C3:C25" si="3">B3*5</f>
        <v>610</v>
      </c>
      <c r="D3">
        <f t="shared" ref="D3:D25" si="4">C3/A3</f>
        <v>4.9504950495049505</v>
      </c>
      <c r="G3">
        <v>39.299999999999997</v>
      </c>
      <c r="H3">
        <v>22</v>
      </c>
      <c r="I3">
        <f t="shared" ref="I3:I19" si="5">H3*5</f>
        <v>110</v>
      </c>
      <c r="J3">
        <f t="shared" si="0"/>
        <v>2.7989821882951658</v>
      </c>
      <c r="M3">
        <v>86.6</v>
      </c>
      <c r="N3">
        <v>35</v>
      </c>
      <c r="O3">
        <f t="shared" si="1"/>
        <v>175</v>
      </c>
      <c r="P3">
        <f t="shared" si="2"/>
        <v>2.0207852193995381</v>
      </c>
    </row>
    <row r="4" spans="1:17">
      <c r="A4">
        <v>28.5</v>
      </c>
      <c r="B4">
        <v>28</v>
      </c>
      <c r="C4">
        <f t="shared" si="3"/>
        <v>140</v>
      </c>
      <c r="D4">
        <f t="shared" si="4"/>
        <v>4.9122807017543861</v>
      </c>
      <c r="G4">
        <v>35.5</v>
      </c>
      <c r="H4">
        <v>20</v>
      </c>
      <c r="I4">
        <f t="shared" si="5"/>
        <v>100</v>
      </c>
      <c r="J4">
        <f t="shared" si="0"/>
        <v>2.816901408450704</v>
      </c>
      <c r="M4">
        <v>101</v>
      </c>
      <c r="N4">
        <v>40</v>
      </c>
      <c r="O4">
        <f t="shared" si="1"/>
        <v>200</v>
      </c>
      <c r="P4">
        <f t="shared" si="2"/>
        <v>1.9801980198019802</v>
      </c>
    </row>
    <row r="5" spans="1:17">
      <c r="A5">
        <v>30.5</v>
      </c>
      <c r="B5">
        <v>30</v>
      </c>
      <c r="C5">
        <f t="shared" si="3"/>
        <v>150</v>
      </c>
      <c r="D5">
        <f t="shared" si="4"/>
        <v>4.918032786885246</v>
      </c>
      <c r="G5">
        <v>42</v>
      </c>
      <c r="H5">
        <v>25</v>
      </c>
      <c r="I5">
        <f t="shared" si="5"/>
        <v>125</v>
      </c>
      <c r="J5">
        <f t="shared" si="0"/>
        <v>2.9761904761904763</v>
      </c>
      <c r="M5">
        <v>113.3</v>
      </c>
      <c r="N5">
        <v>45</v>
      </c>
      <c r="O5">
        <f t="shared" si="1"/>
        <v>225</v>
      </c>
      <c r="P5">
        <f t="shared" si="2"/>
        <v>1.9858781994704324</v>
      </c>
    </row>
    <row r="6" spans="1:17">
      <c r="A6">
        <v>35.799999999999997</v>
      </c>
      <c r="B6">
        <v>35</v>
      </c>
      <c r="C6">
        <f t="shared" si="3"/>
        <v>175</v>
      </c>
      <c r="D6">
        <f t="shared" si="4"/>
        <v>4.8882681564245818</v>
      </c>
      <c r="G6">
        <v>52</v>
      </c>
      <c r="H6">
        <v>30</v>
      </c>
      <c r="I6">
        <f t="shared" si="5"/>
        <v>150</v>
      </c>
      <c r="J6">
        <f t="shared" si="0"/>
        <v>2.8846153846153846</v>
      </c>
      <c r="M6">
        <v>124.2</v>
      </c>
      <c r="N6">
        <v>50</v>
      </c>
      <c r="O6">
        <f t="shared" si="1"/>
        <v>250</v>
      </c>
      <c r="P6">
        <f t="shared" si="2"/>
        <v>2.0128824476650564</v>
      </c>
    </row>
    <row r="7" spans="1:17">
      <c r="A7">
        <v>40.6</v>
      </c>
      <c r="B7">
        <v>40</v>
      </c>
      <c r="C7">
        <f t="shared" si="3"/>
        <v>200</v>
      </c>
      <c r="D7">
        <f t="shared" si="4"/>
        <v>4.9261083743842367</v>
      </c>
      <c r="G7">
        <v>59.9</v>
      </c>
      <c r="H7">
        <v>35</v>
      </c>
      <c r="I7">
        <f t="shared" si="5"/>
        <v>175</v>
      </c>
      <c r="J7">
        <f t="shared" si="0"/>
        <v>2.9215358931552586</v>
      </c>
      <c r="M7">
        <v>137.9</v>
      </c>
      <c r="N7">
        <v>55</v>
      </c>
      <c r="O7">
        <f t="shared" si="1"/>
        <v>275</v>
      </c>
      <c r="P7">
        <f t="shared" si="2"/>
        <v>1.9941986947063088</v>
      </c>
    </row>
    <row r="8" spans="1:17">
      <c r="A8">
        <v>45.9</v>
      </c>
      <c r="B8">
        <v>45</v>
      </c>
      <c r="C8">
        <f t="shared" si="3"/>
        <v>225</v>
      </c>
      <c r="D8">
        <f t="shared" si="4"/>
        <v>4.9019607843137258</v>
      </c>
      <c r="G8">
        <v>69.599999999999994</v>
      </c>
      <c r="H8">
        <v>40</v>
      </c>
      <c r="I8">
        <f t="shared" si="5"/>
        <v>200</v>
      </c>
      <c r="J8">
        <f t="shared" si="0"/>
        <v>2.8735632183908049</v>
      </c>
      <c r="M8">
        <v>149.9</v>
      </c>
      <c r="N8">
        <v>60</v>
      </c>
      <c r="O8">
        <f t="shared" si="1"/>
        <v>300</v>
      </c>
      <c r="P8">
        <f t="shared" si="2"/>
        <v>2.0013342228152102</v>
      </c>
    </row>
    <row r="9" spans="1:17">
      <c r="A9">
        <v>50.7</v>
      </c>
      <c r="B9">
        <v>50</v>
      </c>
      <c r="C9">
        <f t="shared" si="3"/>
        <v>250</v>
      </c>
      <c r="D9">
        <f t="shared" si="4"/>
        <v>4.9309664694280073</v>
      </c>
      <c r="G9">
        <v>76.3</v>
      </c>
      <c r="H9">
        <v>45</v>
      </c>
      <c r="I9">
        <f t="shared" si="5"/>
        <v>225</v>
      </c>
      <c r="J9">
        <f t="shared" si="0"/>
        <v>2.9488859764089121</v>
      </c>
      <c r="M9">
        <v>161.6</v>
      </c>
      <c r="N9">
        <v>65</v>
      </c>
      <c r="O9">
        <f t="shared" si="1"/>
        <v>325</v>
      </c>
      <c r="P9">
        <f t="shared" si="2"/>
        <v>2.011138613861386</v>
      </c>
    </row>
    <row r="10" spans="1:17">
      <c r="A10">
        <v>55.4</v>
      </c>
      <c r="B10">
        <v>55</v>
      </c>
      <c r="C10">
        <f t="shared" si="3"/>
        <v>275</v>
      </c>
      <c r="D10">
        <f t="shared" si="4"/>
        <v>4.9638989169675094</v>
      </c>
      <c r="G10">
        <v>85.3</v>
      </c>
      <c r="H10">
        <v>50</v>
      </c>
      <c r="I10">
        <f t="shared" si="5"/>
        <v>250</v>
      </c>
      <c r="J10">
        <f t="shared" si="0"/>
        <v>2.9308323563892147</v>
      </c>
      <c r="M10">
        <v>189</v>
      </c>
      <c r="N10">
        <v>75</v>
      </c>
      <c r="O10">
        <f t="shared" si="1"/>
        <v>375</v>
      </c>
      <c r="P10">
        <f t="shared" si="2"/>
        <v>1.9841269841269842</v>
      </c>
    </row>
    <row r="11" spans="1:17">
      <c r="A11">
        <v>60.7</v>
      </c>
      <c r="B11">
        <v>60</v>
      </c>
      <c r="C11">
        <f t="shared" si="3"/>
        <v>300</v>
      </c>
      <c r="D11">
        <f t="shared" si="4"/>
        <v>4.9423393739703458</v>
      </c>
      <c r="G11">
        <v>93.7</v>
      </c>
      <c r="H11">
        <v>55</v>
      </c>
      <c r="I11">
        <f t="shared" si="5"/>
        <v>275</v>
      </c>
      <c r="J11">
        <f t="shared" si="0"/>
        <v>2.9348986125933831</v>
      </c>
      <c r="M11">
        <v>206.2</v>
      </c>
      <c r="N11">
        <v>83</v>
      </c>
      <c r="O11">
        <f t="shared" si="1"/>
        <v>415</v>
      </c>
      <c r="P11">
        <f t="shared" si="2"/>
        <v>2.0126091173617846</v>
      </c>
    </row>
    <row r="12" spans="1:17">
      <c r="A12">
        <v>65.900000000000006</v>
      </c>
      <c r="B12">
        <v>65</v>
      </c>
      <c r="C12">
        <f t="shared" si="3"/>
        <v>325</v>
      </c>
      <c r="D12">
        <f t="shared" si="4"/>
        <v>4.9317147192716231</v>
      </c>
      <c r="G12">
        <v>101.4</v>
      </c>
      <c r="H12">
        <v>60</v>
      </c>
      <c r="I12">
        <f t="shared" si="5"/>
        <v>300</v>
      </c>
      <c r="J12">
        <f t="shared" si="0"/>
        <v>2.9585798816568047</v>
      </c>
      <c r="M12">
        <v>222.1</v>
      </c>
      <c r="N12">
        <v>90</v>
      </c>
      <c r="O12">
        <f t="shared" si="1"/>
        <v>450</v>
      </c>
      <c r="P12">
        <f t="shared" si="2"/>
        <v>2.026114362899595</v>
      </c>
    </row>
    <row r="13" spans="1:17">
      <c r="A13">
        <v>75.2</v>
      </c>
      <c r="B13">
        <v>75</v>
      </c>
      <c r="C13">
        <f t="shared" si="3"/>
        <v>375</v>
      </c>
      <c r="D13">
        <f t="shared" si="4"/>
        <v>4.9867021276595747</v>
      </c>
      <c r="G13">
        <v>110.5</v>
      </c>
      <c r="H13">
        <v>65</v>
      </c>
      <c r="I13">
        <f t="shared" si="5"/>
        <v>325</v>
      </c>
      <c r="J13">
        <f t="shared" si="0"/>
        <v>2.9411764705882355</v>
      </c>
      <c r="M13">
        <v>240</v>
      </c>
      <c r="N13">
        <v>98</v>
      </c>
      <c r="O13">
        <f t="shared" si="1"/>
        <v>490</v>
      </c>
      <c r="P13">
        <f t="shared" si="2"/>
        <v>2.0416666666666665</v>
      </c>
    </row>
    <row r="14" spans="1:17">
      <c r="A14">
        <v>81</v>
      </c>
      <c r="B14">
        <v>80.5</v>
      </c>
      <c r="C14">
        <f t="shared" si="3"/>
        <v>402.5</v>
      </c>
      <c r="D14">
        <f t="shared" si="4"/>
        <v>4.9691358024691361</v>
      </c>
      <c r="G14">
        <v>119.6</v>
      </c>
      <c r="H14">
        <v>70</v>
      </c>
      <c r="I14">
        <f t="shared" si="5"/>
        <v>350</v>
      </c>
      <c r="J14">
        <f t="shared" si="0"/>
        <v>2.9264214046822743</v>
      </c>
      <c r="M14">
        <v>297</v>
      </c>
      <c r="N14">
        <v>119</v>
      </c>
      <c r="O14">
        <f t="shared" si="1"/>
        <v>595</v>
      </c>
      <c r="P14">
        <f t="shared" si="2"/>
        <v>2.0033670033670035</v>
      </c>
    </row>
    <row r="15" spans="1:17">
      <c r="A15">
        <v>85.7</v>
      </c>
      <c r="B15">
        <v>85</v>
      </c>
      <c r="C15">
        <f t="shared" si="3"/>
        <v>425</v>
      </c>
      <c r="D15">
        <f t="shared" si="4"/>
        <v>4.9591598599766629</v>
      </c>
      <c r="G15">
        <v>127.5</v>
      </c>
      <c r="H15">
        <v>75</v>
      </c>
      <c r="I15">
        <f t="shared" si="5"/>
        <v>375</v>
      </c>
      <c r="J15">
        <f t="shared" si="0"/>
        <v>2.9411764705882355</v>
      </c>
      <c r="M15">
        <v>323</v>
      </c>
      <c r="N15">
        <v>131</v>
      </c>
      <c r="O15">
        <f t="shared" si="1"/>
        <v>655</v>
      </c>
      <c r="P15">
        <f t="shared" si="2"/>
        <v>2.0278637770897832</v>
      </c>
    </row>
    <row r="16" spans="1:17">
      <c r="A16">
        <v>90.75</v>
      </c>
      <c r="B16">
        <v>90</v>
      </c>
      <c r="C16">
        <f t="shared" si="3"/>
        <v>450</v>
      </c>
      <c r="D16">
        <f t="shared" si="4"/>
        <v>4.9586776859504136</v>
      </c>
      <c r="G16">
        <v>148</v>
      </c>
      <c r="H16">
        <v>90</v>
      </c>
      <c r="I16">
        <f t="shared" si="5"/>
        <v>450</v>
      </c>
      <c r="J16">
        <f t="shared" si="0"/>
        <v>3.0405405405405403</v>
      </c>
      <c r="M16">
        <v>350</v>
      </c>
      <c r="N16">
        <v>142</v>
      </c>
      <c r="O16">
        <f>N16*5</f>
        <v>710</v>
      </c>
      <c r="P16">
        <f t="shared" si="2"/>
        <v>2.0285714285714285</v>
      </c>
    </row>
    <row r="17" spans="1:24">
      <c r="A17">
        <v>95.54</v>
      </c>
      <c r="B17">
        <v>95</v>
      </c>
      <c r="C17">
        <f>B17*5</f>
        <v>475</v>
      </c>
      <c r="D17">
        <f>C17/A17</f>
        <v>4.9717395855139204</v>
      </c>
      <c r="G17">
        <v>161.6</v>
      </c>
      <c r="H17">
        <v>100</v>
      </c>
      <c r="I17">
        <f t="shared" si="5"/>
        <v>500</v>
      </c>
      <c r="J17">
        <f t="shared" si="0"/>
        <v>3.0940594059405941</v>
      </c>
    </row>
    <row r="18" spans="1:24">
      <c r="A18">
        <v>99.99</v>
      </c>
      <c r="B18">
        <v>100</v>
      </c>
      <c r="C18">
        <f t="shared" si="3"/>
        <v>500</v>
      </c>
      <c r="D18">
        <f t="shared" si="4"/>
        <v>5.0005000500050008</v>
      </c>
      <c r="G18">
        <v>205.1</v>
      </c>
      <c r="H18">
        <v>122</v>
      </c>
      <c r="I18">
        <f t="shared" si="5"/>
        <v>610</v>
      </c>
      <c r="J18">
        <f t="shared" si="0"/>
        <v>2.9741589468551926</v>
      </c>
    </row>
    <row r="19" spans="1:24">
      <c r="A19">
        <v>106.6</v>
      </c>
      <c r="B19">
        <v>106</v>
      </c>
      <c r="C19">
        <f t="shared" si="3"/>
        <v>530</v>
      </c>
      <c r="D19">
        <f t="shared" si="4"/>
        <v>4.9718574108818014</v>
      </c>
      <c r="G19">
        <v>218.7</v>
      </c>
      <c r="H19">
        <v>130</v>
      </c>
      <c r="I19">
        <f t="shared" si="5"/>
        <v>650</v>
      </c>
      <c r="J19">
        <f t="shared" si="0"/>
        <v>2.9721079103795156</v>
      </c>
    </row>
    <row r="20" spans="1:24">
      <c r="A20">
        <v>110.8</v>
      </c>
      <c r="B20">
        <v>110</v>
      </c>
      <c r="C20">
        <f t="shared" si="3"/>
        <v>550</v>
      </c>
      <c r="D20">
        <f t="shared" si="4"/>
        <v>4.9638989169675094</v>
      </c>
    </row>
    <row r="21" spans="1:24">
      <c r="A21">
        <v>114.6</v>
      </c>
      <c r="B21">
        <v>114</v>
      </c>
      <c r="C21">
        <f t="shared" si="3"/>
        <v>570</v>
      </c>
      <c r="D21">
        <f t="shared" si="4"/>
        <v>4.9738219895287958</v>
      </c>
    </row>
    <row r="22" spans="1:24">
      <c r="A22">
        <v>120.5</v>
      </c>
      <c r="B22">
        <v>120</v>
      </c>
      <c r="C22">
        <f t="shared" si="3"/>
        <v>600</v>
      </c>
      <c r="D22">
        <f t="shared" si="4"/>
        <v>4.9792531120331951</v>
      </c>
    </row>
    <row r="23" spans="1:24">
      <c r="A23">
        <v>131</v>
      </c>
      <c r="B23">
        <v>130</v>
      </c>
      <c r="C23">
        <f t="shared" si="3"/>
        <v>650</v>
      </c>
      <c r="D23">
        <f t="shared" si="4"/>
        <v>4.9618320610687023</v>
      </c>
    </row>
    <row r="24" spans="1:24">
      <c r="A24">
        <v>135</v>
      </c>
      <c r="B24">
        <v>134</v>
      </c>
      <c r="C24">
        <f t="shared" si="3"/>
        <v>670</v>
      </c>
      <c r="D24">
        <f t="shared" si="4"/>
        <v>4.9629629629629628</v>
      </c>
    </row>
    <row r="25" spans="1:24">
      <c r="A25">
        <v>140</v>
      </c>
      <c r="B25">
        <v>140</v>
      </c>
      <c r="C25">
        <f t="shared" si="3"/>
        <v>700</v>
      </c>
      <c r="D25">
        <f t="shared" si="4"/>
        <v>5</v>
      </c>
    </row>
    <row r="26" spans="1:24">
      <c r="D26">
        <v>5.09</v>
      </c>
    </row>
    <row r="28" spans="1:24">
      <c r="E28" t="s">
        <v>2</v>
      </c>
    </row>
    <row r="29" spans="1:24">
      <c r="A29" t="s">
        <v>0</v>
      </c>
      <c r="B29" t="s">
        <v>1</v>
      </c>
      <c r="C29" t="s">
        <v>4</v>
      </c>
      <c r="D29" t="s">
        <v>7</v>
      </c>
      <c r="E29" t="s">
        <v>9</v>
      </c>
      <c r="F29" t="s">
        <v>10</v>
      </c>
      <c r="G29" t="s">
        <v>11</v>
      </c>
      <c r="I29" t="s">
        <v>0</v>
      </c>
      <c r="J29" t="s">
        <v>1</v>
      </c>
      <c r="K29" t="s">
        <v>4</v>
      </c>
      <c r="L29" t="s">
        <v>7</v>
      </c>
      <c r="N29" t="s">
        <v>10</v>
      </c>
      <c r="O29" t="s">
        <v>11</v>
      </c>
      <c r="R29" t="s">
        <v>0</v>
      </c>
      <c r="S29" t="s">
        <v>1</v>
      </c>
      <c r="T29" t="s">
        <v>4</v>
      </c>
      <c r="U29" t="s">
        <v>7</v>
      </c>
      <c r="W29" t="s">
        <v>10</v>
      </c>
      <c r="X29" t="s">
        <v>11</v>
      </c>
    </row>
    <row r="30" spans="1:24">
      <c r="A30">
        <v>30.5</v>
      </c>
      <c r="B30">
        <v>30</v>
      </c>
      <c r="C30">
        <f>B30*5</f>
        <v>150</v>
      </c>
      <c r="D30">
        <f>C30/A30</f>
        <v>4.918032786885246</v>
      </c>
      <c r="E30">
        <f>SQRT((4.976*4.976 - D30*D30)^2)</f>
        <v>0.57352950712174078</v>
      </c>
      <c r="F30">
        <f>C30*A30</f>
        <v>4575</v>
      </c>
      <c r="G30">
        <f>A30*A30</f>
        <v>930.25</v>
      </c>
      <c r="I30">
        <v>35.5</v>
      </c>
      <c r="J30">
        <v>20</v>
      </c>
      <c r="K30">
        <f>J30*5</f>
        <v>100</v>
      </c>
      <c r="L30">
        <f>K30/I30</f>
        <v>2.816901408450704</v>
      </c>
      <c r="M30">
        <f>SQRT((2.981*2.981 - L30*L30)^2)</f>
        <v>0.95142745506843873</v>
      </c>
      <c r="N30">
        <f>K30*I30</f>
        <v>3550</v>
      </c>
      <c r="O30">
        <f>I30*I30</f>
        <v>1260.25</v>
      </c>
      <c r="R30">
        <v>69.900000000000006</v>
      </c>
      <c r="S30">
        <v>28</v>
      </c>
      <c r="T30">
        <f t="shared" ref="T30:T33" si="6">S30*5</f>
        <v>140</v>
      </c>
      <c r="U30">
        <f t="shared" ref="U30:U43" si="7">T30/R30</f>
        <v>2.0028612303290414</v>
      </c>
      <c r="V30">
        <f>SQRT((2.017*2.017 - U30*U30)^2)</f>
        <v>5.683589204483841E-2</v>
      </c>
      <c r="W30">
        <f>T30*R30</f>
        <v>9786</v>
      </c>
      <c r="X30">
        <f>R30*R30</f>
        <v>4886.0100000000011</v>
      </c>
    </row>
    <row r="31" spans="1:24">
      <c r="A31">
        <v>40.6</v>
      </c>
      <c r="B31">
        <v>40</v>
      </c>
      <c r="C31">
        <f>B31*5</f>
        <v>200</v>
      </c>
      <c r="D31">
        <f>C31/A31</f>
        <v>4.9261083743842367</v>
      </c>
      <c r="E31">
        <f t="shared" ref="E31:E43" si="8">SQRT((4.976*4.976 - D31*D31)^2)</f>
        <v>0.49403228382149322</v>
      </c>
      <c r="F31">
        <f t="shared" ref="F31:F43" si="9">C31*A31</f>
        <v>8120</v>
      </c>
      <c r="G31">
        <f t="shared" ref="G31:G43" si="10">A31*A31</f>
        <v>1648.3600000000001</v>
      </c>
      <c r="I31">
        <v>39.299999999999997</v>
      </c>
      <c r="J31">
        <v>22</v>
      </c>
      <c r="K31">
        <f t="shared" ref="K31" si="11">J31*5</f>
        <v>110</v>
      </c>
      <c r="L31">
        <f t="shared" ref="L31" si="12">K31/I31</f>
        <v>2.7989821882951658</v>
      </c>
      <c r="M31">
        <f t="shared" ref="M31:M43" si="13">SQRT((2.981*2.981 - L31*L31)^2)</f>
        <v>1.0520597096064046</v>
      </c>
      <c r="N31">
        <f t="shared" ref="N31:N43" si="14">K31*I31</f>
        <v>4323</v>
      </c>
      <c r="O31">
        <f t="shared" ref="O31:O43" si="15">I31*I31</f>
        <v>1544.4899999999998</v>
      </c>
      <c r="R31">
        <v>86.6</v>
      </c>
      <c r="S31">
        <v>35</v>
      </c>
      <c r="T31">
        <f t="shared" si="6"/>
        <v>175</v>
      </c>
      <c r="U31">
        <f t="shared" si="7"/>
        <v>2.0207852193995381</v>
      </c>
      <c r="V31">
        <f t="shared" ref="V31:V43" si="16">SQRT((2.017*2.017 - U31*U31)^2)</f>
        <v>1.5283902943639127E-2</v>
      </c>
      <c r="W31">
        <f t="shared" ref="W31:W43" si="17">T31*R31</f>
        <v>15154.999999999998</v>
      </c>
      <c r="X31">
        <f t="shared" ref="X31:X43" si="18">R31*R31</f>
        <v>7499.5599999999986</v>
      </c>
    </row>
    <row r="32" spans="1:24">
      <c r="A32">
        <v>50.7</v>
      </c>
      <c r="B32">
        <v>50</v>
      </c>
      <c r="C32">
        <f>B32*5</f>
        <v>250</v>
      </c>
      <c r="D32">
        <f>C32/A32</f>
        <v>4.9309664694280073</v>
      </c>
      <c r="E32">
        <f t="shared" si="8"/>
        <v>0.4461456773766912</v>
      </c>
      <c r="F32">
        <f t="shared" si="9"/>
        <v>12675</v>
      </c>
      <c r="G32">
        <f t="shared" si="10"/>
        <v>2570.4900000000002</v>
      </c>
      <c r="I32">
        <v>52</v>
      </c>
      <c r="J32">
        <v>30</v>
      </c>
      <c r="K32">
        <f t="shared" ref="K32:K43" si="19">J32*5</f>
        <v>150</v>
      </c>
      <c r="L32">
        <f t="shared" ref="L32:L43" si="20">K32/I32</f>
        <v>2.8846153846153846</v>
      </c>
      <c r="M32">
        <f t="shared" si="13"/>
        <v>0.56535508284023628</v>
      </c>
      <c r="N32">
        <f t="shared" si="14"/>
        <v>7800</v>
      </c>
      <c r="O32">
        <f t="shared" si="15"/>
        <v>2704</v>
      </c>
      <c r="R32">
        <v>101</v>
      </c>
      <c r="S32">
        <v>40</v>
      </c>
      <c r="T32">
        <f t="shared" si="6"/>
        <v>200</v>
      </c>
      <c r="U32">
        <f t="shared" si="7"/>
        <v>1.9801980198019802</v>
      </c>
      <c r="V32">
        <f t="shared" si="16"/>
        <v>0.14710480237231671</v>
      </c>
      <c r="W32">
        <f t="shared" si="17"/>
        <v>20200</v>
      </c>
      <c r="X32">
        <f t="shared" si="18"/>
        <v>10201</v>
      </c>
    </row>
    <row r="33" spans="1:24">
      <c r="A33">
        <v>60.7</v>
      </c>
      <c r="B33">
        <v>60</v>
      </c>
      <c r="C33">
        <f>B33*5</f>
        <v>300</v>
      </c>
      <c r="D33">
        <f>C33/A33</f>
        <v>4.9423393739703458</v>
      </c>
      <c r="E33">
        <f t="shared" si="8"/>
        <v>0.33385751250240858</v>
      </c>
      <c r="F33">
        <f t="shared" si="9"/>
        <v>18210</v>
      </c>
      <c r="G33">
        <f t="shared" si="10"/>
        <v>3684.4900000000002</v>
      </c>
      <c r="I33">
        <v>59.9</v>
      </c>
      <c r="J33">
        <v>35</v>
      </c>
      <c r="K33">
        <f t="shared" si="19"/>
        <v>175</v>
      </c>
      <c r="L33">
        <f t="shared" si="20"/>
        <v>2.9215358931552586</v>
      </c>
      <c r="M33">
        <f t="shared" si="13"/>
        <v>0.35098902500550366</v>
      </c>
      <c r="N33">
        <f t="shared" si="14"/>
        <v>10482.5</v>
      </c>
      <c r="O33">
        <f t="shared" si="15"/>
        <v>3588.0099999999998</v>
      </c>
      <c r="R33">
        <v>113.3</v>
      </c>
      <c r="S33">
        <v>45</v>
      </c>
      <c r="T33">
        <f t="shared" si="6"/>
        <v>225</v>
      </c>
      <c r="U33">
        <f t="shared" si="7"/>
        <v>1.9858781994704324</v>
      </c>
      <c r="V33">
        <f t="shared" si="16"/>
        <v>0.12457677686807322</v>
      </c>
      <c r="W33">
        <f t="shared" si="17"/>
        <v>25492.5</v>
      </c>
      <c r="X33">
        <f t="shared" si="18"/>
        <v>12836.89</v>
      </c>
    </row>
    <row r="34" spans="1:24">
      <c r="A34">
        <v>75.2</v>
      </c>
      <c r="B34">
        <v>75</v>
      </c>
      <c r="C34">
        <f>B34*5</f>
        <v>375</v>
      </c>
      <c r="D34">
        <f>C34/A34</f>
        <v>4.9867021276595747</v>
      </c>
      <c r="E34">
        <f t="shared" si="8"/>
        <v>0.1066221100045297</v>
      </c>
      <c r="F34">
        <f t="shared" si="9"/>
        <v>28200</v>
      </c>
      <c r="G34">
        <f t="shared" si="10"/>
        <v>5655.0400000000009</v>
      </c>
      <c r="I34">
        <v>69.599999999999994</v>
      </c>
      <c r="J34">
        <v>40</v>
      </c>
      <c r="K34">
        <f t="shared" si="19"/>
        <v>200</v>
      </c>
      <c r="L34">
        <f t="shared" si="20"/>
        <v>2.8735632183908049</v>
      </c>
      <c r="M34">
        <f t="shared" si="13"/>
        <v>0.62899542991147861</v>
      </c>
      <c r="N34">
        <f t="shared" si="14"/>
        <v>13919.999999999998</v>
      </c>
      <c r="O34">
        <f t="shared" si="15"/>
        <v>4844.1599999999989</v>
      </c>
      <c r="R34">
        <v>137.9</v>
      </c>
      <c r="S34">
        <v>55</v>
      </c>
      <c r="T34">
        <f t="shared" ref="T34:T43" si="21">S34*5</f>
        <v>275</v>
      </c>
      <c r="U34">
        <f t="shared" si="7"/>
        <v>1.9941986947063088</v>
      </c>
      <c r="V34">
        <f t="shared" si="16"/>
        <v>9.1460566031654089E-2</v>
      </c>
      <c r="W34">
        <f t="shared" si="17"/>
        <v>37922.5</v>
      </c>
      <c r="X34">
        <f t="shared" si="18"/>
        <v>19016.41</v>
      </c>
    </row>
    <row r="35" spans="1:24">
      <c r="A35">
        <v>81</v>
      </c>
      <c r="B35">
        <v>80.5</v>
      </c>
      <c r="C35">
        <f>B35*5</f>
        <v>402.5</v>
      </c>
      <c r="D35">
        <f>C35/A35</f>
        <v>4.9691358024691361</v>
      </c>
      <c r="E35">
        <f t="shared" si="8"/>
        <v>6.8265376619415008E-2</v>
      </c>
      <c r="F35">
        <f t="shared" si="9"/>
        <v>32602.5</v>
      </c>
      <c r="G35">
        <f t="shared" si="10"/>
        <v>6561</v>
      </c>
      <c r="I35">
        <v>76.3</v>
      </c>
      <c r="J35">
        <v>45</v>
      </c>
      <c r="K35">
        <f t="shared" si="19"/>
        <v>225</v>
      </c>
      <c r="L35">
        <f t="shared" si="20"/>
        <v>2.9488859764089121</v>
      </c>
      <c r="M35">
        <f t="shared" si="13"/>
        <v>0.19043249813885588</v>
      </c>
      <c r="N35">
        <f t="shared" si="14"/>
        <v>17167.5</v>
      </c>
      <c r="O35">
        <f t="shared" si="15"/>
        <v>5821.69</v>
      </c>
      <c r="R35">
        <v>149.9</v>
      </c>
      <c r="S35">
        <v>60</v>
      </c>
      <c r="T35">
        <f t="shared" si="21"/>
        <v>300</v>
      </c>
      <c r="U35">
        <f t="shared" si="7"/>
        <v>2.0013342228152102</v>
      </c>
      <c r="V35">
        <f t="shared" si="16"/>
        <v>6.2950328588638804E-2</v>
      </c>
      <c r="W35">
        <f t="shared" si="17"/>
        <v>44970</v>
      </c>
      <c r="X35">
        <f t="shared" si="18"/>
        <v>22470.010000000002</v>
      </c>
    </row>
    <row r="36" spans="1:24">
      <c r="A36">
        <v>85.7</v>
      </c>
      <c r="B36">
        <v>85</v>
      </c>
      <c r="C36">
        <f>B36*5</f>
        <v>425</v>
      </c>
      <c r="D36">
        <f>C36/A36</f>
        <v>4.9591598599766629</v>
      </c>
      <c r="E36">
        <f t="shared" si="8"/>
        <v>0.16730948319624517</v>
      </c>
      <c r="F36">
        <f t="shared" si="9"/>
        <v>36422.5</v>
      </c>
      <c r="G36">
        <f t="shared" si="10"/>
        <v>7344.4900000000007</v>
      </c>
      <c r="I36">
        <v>85.3</v>
      </c>
      <c r="J36">
        <v>50</v>
      </c>
      <c r="K36">
        <f t="shared" si="19"/>
        <v>250</v>
      </c>
      <c r="L36">
        <f t="shared" si="20"/>
        <v>2.9308323563892147</v>
      </c>
      <c r="M36">
        <f t="shared" si="13"/>
        <v>0.29658269874204279</v>
      </c>
      <c r="N36">
        <f t="shared" si="14"/>
        <v>21325</v>
      </c>
      <c r="O36">
        <f t="shared" si="15"/>
        <v>7276.0899999999992</v>
      </c>
      <c r="R36">
        <v>161.6</v>
      </c>
      <c r="S36">
        <v>65</v>
      </c>
      <c r="T36">
        <f t="shared" si="21"/>
        <v>325</v>
      </c>
      <c r="U36">
        <f t="shared" si="7"/>
        <v>2.011138613861386</v>
      </c>
      <c r="V36">
        <f t="shared" si="16"/>
        <v>2.3610475835702971E-2</v>
      </c>
      <c r="W36">
        <f t="shared" si="17"/>
        <v>52520</v>
      </c>
      <c r="X36">
        <f t="shared" si="18"/>
        <v>26114.559999999998</v>
      </c>
    </row>
    <row r="37" spans="1:24">
      <c r="A37">
        <v>90.75</v>
      </c>
      <c r="B37">
        <v>90</v>
      </c>
      <c r="C37">
        <f>B37*5</f>
        <v>450</v>
      </c>
      <c r="D37">
        <f>C37/A37</f>
        <v>4.9586776859504136</v>
      </c>
      <c r="E37">
        <f t="shared" si="8"/>
        <v>0.17209160685745317</v>
      </c>
      <c r="F37">
        <f t="shared" si="9"/>
        <v>40837.5</v>
      </c>
      <c r="G37">
        <f t="shared" si="10"/>
        <v>8235.5625</v>
      </c>
      <c r="I37">
        <v>101.4</v>
      </c>
      <c r="J37">
        <v>60</v>
      </c>
      <c r="K37">
        <f t="shared" si="19"/>
        <v>300</v>
      </c>
      <c r="L37">
        <f t="shared" si="20"/>
        <v>2.9585798816568047</v>
      </c>
      <c r="M37">
        <f t="shared" si="13"/>
        <v>0.13316608385560613</v>
      </c>
      <c r="N37">
        <f t="shared" si="14"/>
        <v>30420</v>
      </c>
      <c r="O37">
        <f t="shared" si="15"/>
        <v>10281.960000000001</v>
      </c>
      <c r="R37">
        <v>189</v>
      </c>
      <c r="S37">
        <v>75</v>
      </c>
      <c r="T37">
        <f t="shared" si="21"/>
        <v>375</v>
      </c>
      <c r="U37">
        <f t="shared" si="7"/>
        <v>1.9841269841269842</v>
      </c>
      <c r="V37">
        <f t="shared" si="16"/>
        <v>0.1315291108591583</v>
      </c>
      <c r="W37">
        <f t="shared" si="17"/>
        <v>70875</v>
      </c>
      <c r="X37">
        <f t="shared" si="18"/>
        <v>35721</v>
      </c>
    </row>
    <row r="38" spans="1:24">
      <c r="A38">
        <v>99.99</v>
      </c>
      <c r="B38">
        <v>100</v>
      </c>
      <c r="C38">
        <f>B38*5</f>
        <v>500</v>
      </c>
      <c r="D38">
        <f>C38/A38</f>
        <v>5.0005000500050008</v>
      </c>
      <c r="E38">
        <f t="shared" si="8"/>
        <v>0.2444247501000163</v>
      </c>
      <c r="F38">
        <f t="shared" si="9"/>
        <v>49995</v>
      </c>
      <c r="G38">
        <f t="shared" si="10"/>
        <v>9998.0000999999993</v>
      </c>
      <c r="I38">
        <v>110.5</v>
      </c>
      <c r="J38">
        <v>65</v>
      </c>
      <c r="K38">
        <f t="shared" si="19"/>
        <v>325</v>
      </c>
      <c r="L38">
        <f t="shared" si="20"/>
        <v>2.9411764705882355</v>
      </c>
      <c r="M38">
        <f t="shared" si="13"/>
        <v>0.23584196885812858</v>
      </c>
      <c r="N38">
        <f t="shared" si="14"/>
        <v>35912.5</v>
      </c>
      <c r="O38">
        <f t="shared" si="15"/>
        <v>12210.25</v>
      </c>
      <c r="R38">
        <v>206.2</v>
      </c>
      <c r="S38">
        <v>83</v>
      </c>
      <c r="T38">
        <f t="shared" si="21"/>
        <v>415</v>
      </c>
      <c r="U38">
        <f t="shared" si="7"/>
        <v>2.0126091173617846</v>
      </c>
      <c r="V38">
        <f t="shared" si="16"/>
        <v>1.7693540712218514E-2</v>
      </c>
      <c r="W38">
        <f t="shared" si="17"/>
        <v>85573</v>
      </c>
      <c r="X38">
        <f t="shared" si="18"/>
        <v>42518.439999999995</v>
      </c>
    </row>
    <row r="39" spans="1:24">
      <c r="A39">
        <v>110.8</v>
      </c>
      <c r="B39">
        <v>110</v>
      </c>
      <c r="C39">
        <f>B39*5</f>
        <v>550</v>
      </c>
      <c r="D39">
        <f>C39/A39</f>
        <v>4.9638989169675094</v>
      </c>
      <c r="E39">
        <f t="shared" si="8"/>
        <v>0.12028354212878867</v>
      </c>
      <c r="F39">
        <f t="shared" si="9"/>
        <v>60940</v>
      </c>
      <c r="G39">
        <f t="shared" si="10"/>
        <v>12276.64</v>
      </c>
      <c r="I39">
        <v>119.6</v>
      </c>
      <c r="J39">
        <v>70</v>
      </c>
      <c r="K39">
        <f t="shared" si="19"/>
        <v>350</v>
      </c>
      <c r="L39">
        <f t="shared" si="20"/>
        <v>2.9264214046822743</v>
      </c>
      <c r="M39">
        <f t="shared" si="13"/>
        <v>0.32241876221742416</v>
      </c>
      <c r="N39">
        <f t="shared" si="14"/>
        <v>41860</v>
      </c>
      <c r="O39">
        <f t="shared" si="15"/>
        <v>14304.159999999998</v>
      </c>
      <c r="R39">
        <v>222.1</v>
      </c>
      <c r="S39">
        <v>90</v>
      </c>
      <c r="T39">
        <f t="shared" si="21"/>
        <v>450</v>
      </c>
      <c r="U39">
        <f t="shared" si="7"/>
        <v>2.026114362899595</v>
      </c>
      <c r="V39">
        <f t="shared" si="16"/>
        <v>3.6850411548031481E-2</v>
      </c>
      <c r="W39">
        <f t="shared" si="17"/>
        <v>99945</v>
      </c>
      <c r="X39">
        <f t="shared" si="18"/>
        <v>49328.409999999996</v>
      </c>
    </row>
    <row r="40" spans="1:24">
      <c r="A40">
        <v>120.5</v>
      </c>
      <c r="B40">
        <v>120</v>
      </c>
      <c r="C40">
        <f>B40*5</f>
        <v>600</v>
      </c>
      <c r="D40">
        <f>C40/A40</f>
        <v>4.9792531120331951</v>
      </c>
      <c r="E40">
        <f t="shared" si="8"/>
        <v>3.2385553692257929E-2</v>
      </c>
      <c r="F40">
        <f t="shared" si="9"/>
        <v>72300</v>
      </c>
      <c r="G40">
        <f t="shared" si="10"/>
        <v>14520.25</v>
      </c>
      <c r="I40">
        <v>148</v>
      </c>
      <c r="J40">
        <v>90</v>
      </c>
      <c r="K40">
        <f t="shared" si="19"/>
        <v>450</v>
      </c>
      <c r="L40">
        <f t="shared" si="20"/>
        <v>3.0405405405405403</v>
      </c>
      <c r="M40">
        <f t="shared" si="13"/>
        <v>0.3585257786705629</v>
      </c>
      <c r="N40">
        <f t="shared" si="14"/>
        <v>66600</v>
      </c>
      <c r="O40">
        <f t="shared" si="15"/>
        <v>21904</v>
      </c>
      <c r="R40">
        <v>240</v>
      </c>
      <c r="S40">
        <v>98</v>
      </c>
      <c r="T40">
        <f t="shared" si="21"/>
        <v>490</v>
      </c>
      <c r="U40">
        <f t="shared" si="7"/>
        <v>2.0416666666666665</v>
      </c>
      <c r="V40">
        <f t="shared" si="16"/>
        <v>0.10011377777777675</v>
      </c>
      <c r="W40">
        <f t="shared" si="17"/>
        <v>117600</v>
      </c>
      <c r="X40">
        <f t="shared" si="18"/>
        <v>57600</v>
      </c>
    </row>
    <row r="41" spans="1:24">
      <c r="A41">
        <v>131</v>
      </c>
      <c r="B41">
        <v>130</v>
      </c>
      <c r="C41">
        <f>B41*5</f>
        <v>650</v>
      </c>
      <c r="D41">
        <f>C41/A41</f>
        <v>4.9618320610687023</v>
      </c>
      <c r="E41">
        <f t="shared" si="8"/>
        <v>0.14079859775071313</v>
      </c>
      <c r="F41">
        <f t="shared" si="9"/>
        <v>85150</v>
      </c>
      <c r="G41">
        <f t="shared" si="10"/>
        <v>17161</v>
      </c>
      <c r="I41">
        <v>161.6</v>
      </c>
      <c r="J41">
        <v>100</v>
      </c>
      <c r="K41">
        <f t="shared" si="19"/>
        <v>500</v>
      </c>
      <c r="L41">
        <f t="shared" si="20"/>
        <v>3.0940594059405941</v>
      </c>
      <c r="M41">
        <f t="shared" si="13"/>
        <v>0.68684260748946357</v>
      </c>
      <c r="N41">
        <f t="shared" si="14"/>
        <v>80800</v>
      </c>
      <c r="O41">
        <f t="shared" si="15"/>
        <v>26114.559999999998</v>
      </c>
      <c r="R41">
        <v>297</v>
      </c>
      <c r="S41">
        <v>119</v>
      </c>
      <c r="T41">
        <f t="shared" si="21"/>
        <v>595</v>
      </c>
      <c r="U41">
        <f t="shared" si="7"/>
        <v>2.0033670033670035</v>
      </c>
      <c r="V41">
        <f t="shared" si="16"/>
        <v>5.4809649820312778E-2</v>
      </c>
      <c r="W41">
        <f t="shared" si="17"/>
        <v>176715</v>
      </c>
      <c r="X41">
        <f t="shared" si="18"/>
        <v>88209</v>
      </c>
    </row>
    <row r="42" spans="1:24">
      <c r="A42">
        <v>140</v>
      </c>
      <c r="B42">
        <v>140</v>
      </c>
      <c r="C42">
        <f>B42*5</f>
        <v>700</v>
      </c>
      <c r="D42">
        <f>C42/A42</f>
        <v>5</v>
      </c>
      <c r="E42">
        <f t="shared" si="8"/>
        <v>0.23942399999999964</v>
      </c>
      <c r="F42">
        <f t="shared" si="9"/>
        <v>98000</v>
      </c>
      <c r="G42">
        <f t="shared" si="10"/>
        <v>19600</v>
      </c>
      <c r="I42">
        <v>205.1</v>
      </c>
      <c r="J42">
        <v>122</v>
      </c>
      <c r="K42">
        <f t="shared" si="19"/>
        <v>610</v>
      </c>
      <c r="L42">
        <f t="shared" si="20"/>
        <v>2.9741589468551926</v>
      </c>
      <c r="M42">
        <f t="shared" si="13"/>
        <v>4.0739558841211831E-2</v>
      </c>
      <c r="N42">
        <f t="shared" si="14"/>
        <v>125111</v>
      </c>
      <c r="O42">
        <f t="shared" si="15"/>
        <v>42066.009999999995</v>
      </c>
      <c r="R42">
        <v>323</v>
      </c>
      <c r="S42">
        <v>131</v>
      </c>
      <c r="T42">
        <f t="shared" si="21"/>
        <v>655</v>
      </c>
      <c r="U42">
        <f t="shared" si="7"/>
        <v>2.0278637770897832</v>
      </c>
      <c r="V42">
        <f t="shared" si="16"/>
        <v>4.3942498432842036E-2</v>
      </c>
      <c r="W42">
        <f t="shared" si="17"/>
        <v>211565</v>
      </c>
      <c r="X42">
        <f t="shared" si="18"/>
        <v>104329</v>
      </c>
    </row>
    <row r="43" spans="1:24">
      <c r="A43">
        <v>150.26</v>
      </c>
      <c r="B43">
        <v>150</v>
      </c>
      <c r="C43">
        <f>B43*5</f>
        <v>750</v>
      </c>
      <c r="D43">
        <f>C43/A43</f>
        <v>4.9913483295620926</v>
      </c>
      <c r="E43">
        <f t="shared" si="8"/>
        <v>0.15298214702229274</v>
      </c>
      <c r="F43">
        <f t="shared" si="9"/>
        <v>112695</v>
      </c>
      <c r="G43">
        <f t="shared" si="10"/>
        <v>22578.067599999998</v>
      </c>
      <c r="I43">
        <v>218.7</v>
      </c>
      <c r="J43">
        <v>130</v>
      </c>
      <c r="K43">
        <f t="shared" si="19"/>
        <v>650</v>
      </c>
      <c r="L43">
        <f t="shared" si="20"/>
        <v>2.9721079103795156</v>
      </c>
      <c r="M43">
        <f t="shared" si="13"/>
        <v>5.293556905950858E-2</v>
      </c>
      <c r="N43">
        <f t="shared" si="14"/>
        <v>142155</v>
      </c>
      <c r="O43">
        <f t="shared" si="15"/>
        <v>47829.689999999995</v>
      </c>
      <c r="R43">
        <v>350</v>
      </c>
      <c r="S43">
        <v>142</v>
      </c>
      <c r="T43">
        <f t="shared" si="21"/>
        <v>710</v>
      </c>
      <c r="U43">
        <f t="shared" si="7"/>
        <v>2.0285714285714285</v>
      </c>
      <c r="V43">
        <f t="shared" si="16"/>
        <v>4.6813040816325646E-2</v>
      </c>
      <c r="W43">
        <f t="shared" si="17"/>
        <v>248500</v>
      </c>
      <c r="X43">
        <f t="shared" si="18"/>
        <v>122500</v>
      </c>
    </row>
    <row r="45" spans="1:24">
      <c r="C45" t="s">
        <v>8</v>
      </c>
      <c r="D45">
        <f>F45/G45</f>
        <v>4.9766826143412723</v>
      </c>
      <c r="E45">
        <f>(E30+E31+E32+E33+E34+E35+E36+E37+E38+E40+E39+E41+E43+E42)/14</f>
        <v>0.23515372487100322</v>
      </c>
      <c r="F45">
        <f>(F30+F31+F32+F33+F34+F35+F36+F37+F38+F40+F39+F41+F43+F42)</f>
        <v>660722.5</v>
      </c>
      <c r="G45">
        <f>(G30+G31+G32+G33+G34+G35+G36+G37+G38+G40+G39+G41+G43+G42)</f>
        <v>132763.64019999999</v>
      </c>
      <c r="K45" t="s">
        <v>8</v>
      </c>
      <c r="L45">
        <f>N45/O45</f>
        <v>2.9810583748188098</v>
      </c>
      <c r="M45">
        <f>(M30+M31+M32+M33+M34+M35+M36+M37+M38+M40+M39+M41+M43+M42)/14</f>
        <v>0.41902230202177615</v>
      </c>
      <c r="N45">
        <f>(N30+N31+N32+N33+N34+N35+N36+N37+N38+N40+N39+N41+N43+N42)</f>
        <v>601426.5</v>
      </c>
      <c r="O45">
        <f>(O30+O31+O32+O33+O34+O35+O36+O37+O38+O40+O39+O41+O43+O42)</f>
        <v>201749.32</v>
      </c>
      <c r="T45" t="s">
        <v>8</v>
      </c>
      <c r="U45">
        <f>W45/X45</f>
        <v>2.0171715846695961</v>
      </c>
      <c r="V45">
        <f>(V30+V31+V32+V33+V34+V35+V36+V37+V38+V40+V39+V41+V43+V42)/14</f>
        <v>6.8112483903680632E-2</v>
      </c>
      <c r="W45">
        <f>(W30+W31+W32+W33+W34+W35+W36+W37+W38+W40+W39+W41+W43+W42)</f>
        <v>1216819</v>
      </c>
      <c r="X45">
        <f>(X30+X31+X32+X33+X34+X35+X36+X37+X38+X40+X39+X41+X43+X42)</f>
        <v>603230.29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2025-09-05T10:10:33Z</dcterms:created>
  <dcterms:modified xsi:type="dcterms:W3CDTF">2025-09-10T00:37:12Z</dcterms:modified>
</cp:coreProperties>
</file>