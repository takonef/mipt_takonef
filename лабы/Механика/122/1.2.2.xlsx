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40" windowWidth="21980" windowHeight="1055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J18" i="1"/>
  <c r="J24"/>
  <c r="J36"/>
  <c r="J5"/>
  <c r="D54"/>
  <c r="D55"/>
  <c r="D56"/>
  <c r="D57"/>
  <c r="D53"/>
  <c r="B54"/>
  <c r="B55"/>
  <c r="B56"/>
  <c r="B57"/>
  <c r="B53"/>
  <c r="H45"/>
  <c r="H41"/>
  <c r="A57"/>
  <c r="A55"/>
  <c r="A54"/>
  <c r="A53"/>
  <c r="A28"/>
  <c r="K27"/>
  <c r="I28"/>
  <c r="I29"/>
  <c r="I30"/>
  <c r="I27"/>
  <c r="H27"/>
  <c r="H4"/>
  <c r="H17"/>
  <c r="J35"/>
  <c r="J33"/>
  <c r="J32"/>
  <c r="J27"/>
  <c r="J26"/>
  <c r="J11"/>
  <c r="A21"/>
  <c r="A16"/>
  <c r="A8"/>
  <c r="A3"/>
  <c r="H42"/>
  <c r="H10"/>
  <c r="H50"/>
  <c r="H49"/>
  <c r="H48"/>
  <c r="H47"/>
  <c r="H46"/>
  <c r="H44"/>
  <c r="H43"/>
  <c r="H40"/>
  <c r="H39"/>
  <c r="H38"/>
  <c r="H37"/>
  <c r="H36"/>
  <c r="H35"/>
  <c r="H15"/>
  <c r="H16"/>
  <c r="H18"/>
  <c r="H11"/>
  <c r="H9"/>
  <c r="H8"/>
  <c r="H30"/>
  <c r="H29"/>
  <c r="H28"/>
  <c r="H24"/>
  <c r="H23"/>
  <c r="H22"/>
  <c r="H21"/>
  <c r="H5"/>
  <c r="H3"/>
  <c r="H2"/>
</calcChain>
</file>

<file path=xl/sharedStrings.xml><?xml version="1.0" encoding="utf-8"?>
<sst xmlns="http://schemas.openxmlformats.org/spreadsheetml/2006/main" count="70" uniqueCount="31">
  <si>
    <t>радиус хуйнюшки</t>
  </si>
  <si>
    <t>r1</t>
  </si>
  <si>
    <t>r2</t>
  </si>
  <si>
    <t>r4</t>
  </si>
  <si>
    <t>r3</t>
  </si>
  <si>
    <t>2,0 см</t>
  </si>
  <si>
    <t>погр 0,05мм</t>
  </si>
  <si>
    <t>m = 27,1г</t>
  </si>
  <si>
    <t>k</t>
  </si>
  <si>
    <t>sigma_k</t>
  </si>
  <si>
    <t>b</t>
  </si>
  <si>
    <t>sigma_b</t>
  </si>
  <si>
    <t>m = 52 г</t>
  </si>
  <si>
    <t>m = 100 г</t>
  </si>
  <si>
    <t>m = 200 г</t>
  </si>
  <si>
    <t>шкив 2</t>
  </si>
  <si>
    <t>r = 13,9 см</t>
  </si>
  <si>
    <t>r = 10 см</t>
  </si>
  <si>
    <t>r = 6 см</t>
  </si>
  <si>
    <t>m = 0</t>
  </si>
  <si>
    <t>r = 14,05</t>
  </si>
  <si>
    <t>&lt;k&gt;</t>
  </si>
  <si>
    <t>&lt;sigma_k&gt;</t>
  </si>
  <si>
    <t>&lt;sigma_b&gt;</t>
  </si>
  <si>
    <t>r шк = 1,75</t>
  </si>
  <si>
    <t>M</t>
  </si>
  <si>
    <t>b10</t>
  </si>
  <si>
    <t>b6</t>
  </si>
  <si>
    <t>sb10</t>
  </si>
  <si>
    <t>sb6</t>
  </si>
  <si>
    <t>для раскрутки изначальной: 6,17 + 6,65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</si>
</sst>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topLeftCell="A28" workbookViewId="0">
      <selection activeCell="L20" sqref="L20"/>
    </sheetView>
  </sheetViews>
  <sheetFormatPr defaultRowHeight="14.5"/>
  <sheetData>
    <row r="1" spans="1:18">
      <c r="A1" t="s">
        <v>7</v>
      </c>
      <c r="B1" t="s">
        <v>8</v>
      </c>
      <c r="C1" t="s">
        <v>9</v>
      </c>
      <c r="D1" t="s">
        <v>10</v>
      </c>
      <c r="E1" t="s">
        <v>11</v>
      </c>
      <c r="M1">
        <v>12.82</v>
      </c>
      <c r="N1" t="s">
        <v>30</v>
      </c>
    </row>
    <row r="2" spans="1:18">
      <c r="A2">
        <v>6.1710000000000003</v>
      </c>
      <c r="B2">
        <v>-4.9389999999999998E-3</v>
      </c>
      <c r="C2">
        <v>1.2999999999999999E-3</v>
      </c>
      <c r="D2">
        <v>0.21429999999999999</v>
      </c>
      <c r="E2">
        <v>1.0999999999999999E-2</v>
      </c>
      <c r="G2" t="s">
        <v>21</v>
      </c>
      <c r="H2">
        <f xml:space="preserve"> SUM(B2:B6)/5</f>
        <v>-6.0144000000000005E-3</v>
      </c>
      <c r="J2" t="s">
        <v>24</v>
      </c>
      <c r="N2" t="s">
        <v>0</v>
      </c>
      <c r="P2" t="s">
        <v>5</v>
      </c>
      <c r="R2" t="s">
        <v>6</v>
      </c>
    </row>
    <row r="3" spans="1:18">
      <c r="A3">
        <f xml:space="preserve"> 6.171+27.1</f>
        <v>33.271000000000001</v>
      </c>
      <c r="B3">
        <v>-6.6109999999999997E-3</v>
      </c>
      <c r="C3">
        <v>8.8000000000000003E-4</v>
      </c>
      <c r="D3">
        <v>0.21260000000000001</v>
      </c>
      <c r="E3">
        <v>6.6E-4</v>
      </c>
      <c r="G3" t="s">
        <v>22</v>
      </c>
      <c r="H3">
        <f xml:space="preserve"> SUM(C2:C6)/5</f>
        <v>1.196E-3</v>
      </c>
      <c r="N3" t="s">
        <v>1</v>
      </c>
      <c r="O3">
        <v>14.05</v>
      </c>
    </row>
    <row r="4" spans="1:18">
      <c r="B4">
        <v>-6.7120000000000001E-3</v>
      </c>
      <c r="C4">
        <v>1.4E-3</v>
      </c>
      <c r="D4">
        <v>0.2218</v>
      </c>
      <c r="E4">
        <v>1.1999999999999999E-3</v>
      </c>
      <c r="G4" t="s">
        <v>10</v>
      </c>
      <c r="H4">
        <f xml:space="preserve"> SUM(D2:D6)/5</f>
        <v>0.21381999999999998</v>
      </c>
      <c r="N4" t="s">
        <v>2</v>
      </c>
    </row>
    <row r="5" spans="1:18">
      <c r="B5">
        <v>-6.9309999999999997E-3</v>
      </c>
      <c r="C5">
        <v>1.1000000000000001E-3</v>
      </c>
      <c r="D5">
        <v>0.2142</v>
      </c>
      <c r="E5">
        <v>8.9999999999999998E-4</v>
      </c>
      <c r="G5" t="s">
        <v>23</v>
      </c>
      <c r="H5">
        <f xml:space="preserve"> SUM(E2:E6)/5</f>
        <v>4.9519999999999998E-3</v>
      </c>
      <c r="I5" t="s">
        <v>25</v>
      </c>
      <c r="J5">
        <f>9.81*A3*C7/100000</f>
        <v>5.7117989250000008E-3</v>
      </c>
      <c r="N5" t="s">
        <v>4</v>
      </c>
    </row>
    <row r="6" spans="1:18">
      <c r="B6">
        <v>-4.8789999999999997E-3</v>
      </c>
      <c r="C6">
        <v>1.2999999999999999E-3</v>
      </c>
      <c r="D6">
        <v>0.20619999999999999</v>
      </c>
      <c r="E6">
        <v>1.0999999999999999E-2</v>
      </c>
      <c r="N6" t="s">
        <v>3</v>
      </c>
    </row>
    <row r="7" spans="1:18">
      <c r="A7" t="s">
        <v>12</v>
      </c>
      <c r="C7">
        <v>1.75</v>
      </c>
    </row>
    <row r="8" spans="1:18">
      <c r="A8">
        <f>52+6.171</f>
        <v>58.170999999999999</v>
      </c>
      <c r="B8">
        <v>-8.3389999999999992E-3</v>
      </c>
      <c r="C8">
        <v>9.1E-4</v>
      </c>
      <c r="D8">
        <v>0.39660000000000001</v>
      </c>
      <c r="E8">
        <v>1E-3</v>
      </c>
      <c r="G8" t="s">
        <v>21</v>
      </c>
      <c r="H8">
        <f xml:space="preserve"> SUM(B8:B13)/5</f>
        <v>-9.3638000000000002E-3</v>
      </c>
    </row>
    <row r="9" spans="1:18">
      <c r="B9">
        <v>-7.5789999999999998E-3</v>
      </c>
      <c r="C9">
        <v>1.5E-3</v>
      </c>
      <c r="D9">
        <v>0.38329999999999997</v>
      </c>
      <c r="E9">
        <v>1.6999999999999999E-3</v>
      </c>
      <c r="G9" t="s">
        <v>22</v>
      </c>
      <c r="H9">
        <f xml:space="preserve"> SUM(C8:C13)/5</f>
        <v>1.3940000000000001E-3</v>
      </c>
    </row>
    <row r="10" spans="1:18">
      <c r="B10">
        <v>-8.6400000000000001E-3</v>
      </c>
      <c r="C10">
        <v>8.1999999999999998E-4</v>
      </c>
      <c r="D10">
        <v>0.39650000000000002</v>
      </c>
      <c r="E10">
        <v>1E-3</v>
      </c>
      <c r="G10" t="s">
        <v>10</v>
      </c>
      <c r="H10">
        <f xml:space="preserve"> SUM(D8:D13)/5</f>
        <v>0.46679999999999999</v>
      </c>
    </row>
    <row r="11" spans="1:18">
      <c r="B11">
        <v>-7.123E-3</v>
      </c>
      <c r="C11">
        <v>9.3999999999999997E-4</v>
      </c>
      <c r="D11">
        <v>0.38129999999999997</v>
      </c>
      <c r="E11">
        <v>1.1000000000000001E-3</v>
      </c>
      <c r="G11" t="s">
        <v>23</v>
      </c>
      <c r="H11">
        <f xml:space="preserve"> SUM(E8:E13)/5</f>
        <v>1.66E-3</v>
      </c>
      <c r="J11">
        <f>9.81*A8*C14/100000</f>
        <v>9.9865064249999996E-3</v>
      </c>
    </row>
    <row r="12" spans="1:18">
      <c r="B12">
        <v>-6.8910000000000004E-3</v>
      </c>
      <c r="C12">
        <v>1.1000000000000001E-3</v>
      </c>
      <c r="D12">
        <v>0.38059999999999999</v>
      </c>
      <c r="E12">
        <v>1.2999999999999999E-3</v>
      </c>
    </row>
    <row r="13" spans="1:18">
      <c r="B13">
        <v>-8.2470000000000009E-3</v>
      </c>
      <c r="C13">
        <v>1.6999999999999999E-3</v>
      </c>
      <c r="D13">
        <v>0.3957</v>
      </c>
      <c r="E13">
        <v>2.2000000000000001E-3</v>
      </c>
    </row>
    <row r="14" spans="1:18">
      <c r="A14" t="s">
        <v>13</v>
      </c>
      <c r="C14">
        <v>1.75</v>
      </c>
    </row>
    <row r="15" spans="1:18">
      <c r="A15" t="s">
        <v>20</v>
      </c>
      <c r="B15">
        <v>-8.9890000000000005E-3</v>
      </c>
      <c r="C15">
        <v>1.6999999999999999E-3</v>
      </c>
      <c r="D15">
        <v>0.72799999999999998</v>
      </c>
      <c r="E15">
        <v>2.8999999999999998E-3</v>
      </c>
      <c r="G15" t="s">
        <v>21</v>
      </c>
      <c r="H15">
        <f xml:space="preserve"> SUM(B15:B19)/6</f>
        <v>-8.2341666666666657E-3</v>
      </c>
    </row>
    <row r="16" spans="1:18">
      <c r="A16">
        <f>100+6.171</f>
        <v>106.17100000000001</v>
      </c>
      <c r="B16">
        <v>-1.0059999999999999E-2</v>
      </c>
      <c r="C16">
        <v>1.6999999999999999E-3</v>
      </c>
      <c r="D16">
        <v>0.74550000000000005</v>
      </c>
      <c r="E16">
        <v>2.5999999999999999E-3</v>
      </c>
      <c r="G16" t="s">
        <v>22</v>
      </c>
      <c r="H16">
        <f xml:space="preserve"> SUM(C15:C19)/6</f>
        <v>1.1800000000000001E-3</v>
      </c>
    </row>
    <row r="17" spans="1:11">
      <c r="B17">
        <v>-1.018E-2</v>
      </c>
      <c r="C17">
        <v>1.8E-3</v>
      </c>
      <c r="D17">
        <v>0.72950000000000004</v>
      </c>
      <c r="E17">
        <v>2.8E-3</v>
      </c>
      <c r="G17" t="s">
        <v>10</v>
      </c>
      <c r="H17">
        <f xml:space="preserve"> SUM(D15:D19)/6</f>
        <v>0.60901666666666676</v>
      </c>
    </row>
    <row r="18" spans="1:11">
      <c r="B18">
        <v>-1.0659999999999999E-2</v>
      </c>
      <c r="C18">
        <v>1.1000000000000001E-3</v>
      </c>
      <c r="D18">
        <v>0.73280000000000001</v>
      </c>
      <c r="E18">
        <v>1.6999999999999999E-3</v>
      </c>
      <c r="G18" t="s">
        <v>23</v>
      </c>
      <c r="H18">
        <f xml:space="preserve"> SUM(E15:E19)/6</f>
        <v>1.8833333333333334E-3</v>
      </c>
      <c r="J18">
        <f>9.81*A16*C20/100000</f>
        <v>1.8226906425000002E-2</v>
      </c>
    </row>
    <row r="19" spans="1:11">
      <c r="B19">
        <v>-9.5160000000000002E-3</v>
      </c>
      <c r="C19">
        <v>7.7999999999999999E-4</v>
      </c>
      <c r="D19">
        <v>0.71830000000000005</v>
      </c>
      <c r="E19">
        <v>1.2999999999999999E-3</v>
      </c>
    </row>
    <row r="20" spans="1:11">
      <c r="A20" t="s">
        <v>14</v>
      </c>
      <c r="C20">
        <v>1.75</v>
      </c>
    </row>
    <row r="21" spans="1:11">
      <c r="A21">
        <f>200+6.171</f>
        <v>206.17099999999999</v>
      </c>
      <c r="B21">
        <v>-1.2030000000000001E-2</v>
      </c>
      <c r="C21">
        <v>1.2999999999999999E-3</v>
      </c>
      <c r="D21">
        <v>1.4079999999999999</v>
      </c>
      <c r="E21">
        <v>3.0000000000000001E-3</v>
      </c>
      <c r="G21" t="s">
        <v>21</v>
      </c>
      <c r="H21">
        <f xml:space="preserve"> SUM(B21:B25)/5</f>
        <v>-1.2188000000000001E-2</v>
      </c>
    </row>
    <row r="22" spans="1:11">
      <c r="B22">
        <v>-1.243E-2</v>
      </c>
      <c r="C22">
        <v>1.1000000000000001E-3</v>
      </c>
      <c r="D22">
        <v>1.411</v>
      </c>
      <c r="E22">
        <v>2.5999999999999999E-3</v>
      </c>
      <c r="G22" t="s">
        <v>22</v>
      </c>
      <c r="H22">
        <f xml:space="preserve"> SUM(C21:C25)/5</f>
        <v>1.6199999999999999E-3</v>
      </c>
    </row>
    <row r="23" spans="1:11">
      <c r="B23">
        <v>-1.1390000000000001E-2</v>
      </c>
      <c r="C23">
        <v>3.2000000000000002E-3</v>
      </c>
      <c r="D23">
        <v>1.379</v>
      </c>
      <c r="E23">
        <v>2.5999999999999999E-3</v>
      </c>
      <c r="G23" t="s">
        <v>10</v>
      </c>
      <c r="H23">
        <f xml:space="preserve"> SUM(D21:D25)/5</f>
        <v>1.4039999999999999</v>
      </c>
    </row>
    <row r="24" spans="1:11">
      <c r="B24">
        <v>-1.2189999999999999E-2</v>
      </c>
      <c r="C24">
        <v>1.1999999999999999E-3</v>
      </c>
      <c r="D24">
        <v>1.4059999999999999</v>
      </c>
      <c r="E24">
        <v>2.8E-3</v>
      </c>
      <c r="G24" t="s">
        <v>23</v>
      </c>
      <c r="H24">
        <f xml:space="preserve"> SUM(E21:E25)/5</f>
        <v>2.7999999999999995E-3</v>
      </c>
      <c r="J24">
        <f>9.81*A21*C26/100000</f>
        <v>3.5394406425000004E-2</v>
      </c>
    </row>
    <row r="25" spans="1:11">
      <c r="B25">
        <v>-1.29E-2</v>
      </c>
      <c r="C25">
        <v>1.2999999999999999E-3</v>
      </c>
      <c r="D25">
        <v>1.4159999999999999</v>
      </c>
      <c r="E25">
        <v>3.0000000000000001E-3</v>
      </c>
    </row>
    <row r="26" spans="1:11">
      <c r="A26" t="s">
        <v>14</v>
      </c>
      <c r="B26" t="s">
        <v>15</v>
      </c>
      <c r="C26">
        <v>1.75</v>
      </c>
      <c r="J26">
        <f>0.9</f>
        <v>0.9</v>
      </c>
    </row>
    <row r="27" spans="1:11">
      <c r="A27">
        <v>206.17099999999999</v>
      </c>
      <c r="B27">
        <v>-1.1230000000000001E-3</v>
      </c>
      <c r="C27">
        <v>2.3999999999999998E-3</v>
      </c>
      <c r="D27">
        <v>0.7359</v>
      </c>
      <c r="E27">
        <v>6.0000000000000001E-3</v>
      </c>
      <c r="G27" t="s">
        <v>21</v>
      </c>
      <c r="H27">
        <f xml:space="preserve"> SUM(B27:B31)/5</f>
        <v>-1.1458600000000001E-2</v>
      </c>
      <c r="I27">
        <f xml:space="preserve"> H27 * 1.5</f>
        <v>-1.7187900000000002E-2</v>
      </c>
      <c r="J27">
        <f>9.81*A27*J26/100000</f>
        <v>1.820283759E-2</v>
      </c>
      <c r="K27">
        <f xml:space="preserve"> J27 * 1.5</f>
        <v>2.7304256385E-2</v>
      </c>
    </row>
    <row r="28" spans="1:11">
      <c r="A28">
        <f xml:space="preserve"> A27*0.75</f>
        <v>154.62824999999998</v>
      </c>
      <c r="B28">
        <v>-1.306E-2</v>
      </c>
      <c r="C28">
        <v>2.3999999999999998E-3</v>
      </c>
      <c r="D28">
        <v>0.76500000000000001</v>
      </c>
      <c r="E28">
        <v>5.7000000000000002E-3</v>
      </c>
      <c r="G28" t="s">
        <v>22</v>
      </c>
      <c r="H28">
        <f xml:space="preserve"> SUM(C27:C31)/5</f>
        <v>2.5600000000000002E-3</v>
      </c>
      <c r="I28">
        <f t="shared" ref="I28:I30" si="0" xml:space="preserve"> H28 * 1.5</f>
        <v>3.8400000000000005E-3</v>
      </c>
    </row>
    <row r="29" spans="1:11">
      <c r="B29">
        <v>-1.566E-2</v>
      </c>
      <c r="C29">
        <v>1.5E-3</v>
      </c>
      <c r="D29">
        <v>0.78549999999999998</v>
      </c>
      <c r="E29">
        <v>3.7999999999999999E-2</v>
      </c>
      <c r="G29" t="s">
        <v>10</v>
      </c>
      <c r="H29">
        <f xml:space="preserve"> SUM(D27:D31)/5</f>
        <v>0.76411999999999991</v>
      </c>
      <c r="I29">
        <f t="shared" si="0"/>
        <v>1.1461799999999998</v>
      </c>
    </row>
    <row r="30" spans="1:11">
      <c r="B30">
        <v>-1.1610000000000001E-2</v>
      </c>
      <c r="C30">
        <v>4.3E-3</v>
      </c>
      <c r="D30">
        <v>0.74739999999999995</v>
      </c>
      <c r="E30">
        <v>1.0999999999999999E-2</v>
      </c>
      <c r="G30" t="s">
        <v>23</v>
      </c>
      <c r="H30">
        <f xml:space="preserve"> SUM(E27:E31)/5</f>
        <v>1.328E-2</v>
      </c>
      <c r="I30">
        <f t="shared" si="0"/>
        <v>1.992E-2</v>
      </c>
    </row>
    <row r="31" spans="1:11">
      <c r="B31">
        <v>-1.584E-2</v>
      </c>
      <c r="C31">
        <v>2.2000000000000001E-3</v>
      </c>
      <c r="D31">
        <v>0.78680000000000005</v>
      </c>
      <c r="E31">
        <v>5.7000000000000002E-3</v>
      </c>
    </row>
    <row r="32" spans="1:11">
      <c r="A32" t="s">
        <v>13</v>
      </c>
      <c r="B32" t="s">
        <v>15</v>
      </c>
      <c r="J32">
        <f>0.9</f>
        <v>0.9</v>
      </c>
    </row>
    <row r="33" spans="1:10">
      <c r="A33">
        <v>106.17100000000001</v>
      </c>
      <c r="B33">
        <v>-8.0549999999999997E-3</v>
      </c>
      <c r="C33">
        <v>4.1000000000000003E-3</v>
      </c>
      <c r="D33">
        <v>0.3669</v>
      </c>
      <c r="E33">
        <v>7.3000000000000001E-3</v>
      </c>
      <c r="J33">
        <f>9.81*A33*J32/100000</f>
        <v>9.3738375900000014E-3</v>
      </c>
    </row>
    <row r="34" spans="1:10">
      <c r="A34" t="s">
        <v>13</v>
      </c>
    </row>
    <row r="35" spans="1:10">
      <c r="A35" t="s">
        <v>16</v>
      </c>
      <c r="B35">
        <v>-1.077E-2</v>
      </c>
      <c r="C35">
        <v>6.0999999999999997E-4</v>
      </c>
      <c r="D35">
        <v>0.78590000000000004</v>
      </c>
      <c r="E35">
        <v>1.0999999999999999E-2</v>
      </c>
      <c r="G35" t="s">
        <v>21</v>
      </c>
      <c r="H35">
        <f xml:space="preserve"> SUM(B35:B37)/3</f>
        <v>-1.0683333333333331E-2</v>
      </c>
      <c r="J35">
        <f>0.9</f>
        <v>0.9</v>
      </c>
    </row>
    <row r="36" spans="1:10">
      <c r="A36">
        <v>106.17100000000001</v>
      </c>
      <c r="B36">
        <v>-1.082E-2</v>
      </c>
      <c r="C36">
        <v>1.1999999999999999E-3</v>
      </c>
      <c r="D36">
        <v>0.78149999999999997</v>
      </c>
      <c r="E36">
        <v>2E-3</v>
      </c>
      <c r="G36" t="s">
        <v>22</v>
      </c>
      <c r="H36">
        <f xml:space="preserve"> SUM(C35:C37)/3</f>
        <v>8.1333333333333333E-4</v>
      </c>
      <c r="J36">
        <f>9.81*A36*J35/100000</f>
        <v>9.3738375900000014E-3</v>
      </c>
    </row>
    <row r="37" spans="1:10">
      <c r="B37">
        <v>-1.0460000000000001E-2</v>
      </c>
      <c r="C37">
        <v>6.3000000000000003E-4</v>
      </c>
      <c r="D37">
        <v>0.78300000000000003</v>
      </c>
      <c r="E37">
        <v>1.1000000000000001E-3</v>
      </c>
      <c r="G37" t="s">
        <v>10</v>
      </c>
      <c r="H37">
        <f xml:space="preserve"> SUM(D35:D37)/3</f>
        <v>0.78346666666666664</v>
      </c>
    </row>
    <row r="38" spans="1:10">
      <c r="A38" t="s">
        <v>13</v>
      </c>
      <c r="G38" t="s">
        <v>23</v>
      </c>
      <c r="H38">
        <f xml:space="preserve"> SUM(E35:E37)/3</f>
        <v>4.7000000000000002E-3</v>
      </c>
    </row>
    <row r="39" spans="1:10">
      <c r="A39" t="s">
        <v>17</v>
      </c>
      <c r="B39">
        <v>-1.5140000000000001E-2</v>
      </c>
      <c r="C39">
        <v>1.1999999999999999E-3</v>
      </c>
      <c r="D39">
        <v>1.1427</v>
      </c>
      <c r="E39">
        <v>2.5999999999999999E-3</v>
      </c>
      <c r="G39" t="s">
        <v>21</v>
      </c>
      <c r="H39">
        <f xml:space="preserve"> SUM(B39:B41)/3</f>
        <v>-1.477E-2</v>
      </c>
    </row>
    <row r="40" spans="1:10">
      <c r="B40">
        <v>-1.486E-2</v>
      </c>
      <c r="C40">
        <v>2.5000000000000001E-3</v>
      </c>
      <c r="D40">
        <v>1.1379999999999999</v>
      </c>
      <c r="E40">
        <v>5.3E-3</v>
      </c>
      <c r="G40" t="s">
        <v>22</v>
      </c>
      <c r="H40">
        <f xml:space="preserve"> SUM(C39:C41)/3</f>
        <v>1.7333333333333333E-3</v>
      </c>
    </row>
    <row r="41" spans="1:10">
      <c r="B41">
        <v>-1.431E-2</v>
      </c>
      <c r="C41">
        <v>1.5E-3</v>
      </c>
      <c r="D41">
        <v>1.125</v>
      </c>
      <c r="E41">
        <v>3.0999999999999999E-3</v>
      </c>
      <c r="G41" t="s">
        <v>10</v>
      </c>
      <c r="H41">
        <f xml:space="preserve"> SUM(D39:D41)/3</f>
        <v>1.1352333333333333</v>
      </c>
    </row>
    <row r="42" spans="1:10">
      <c r="A42" t="s">
        <v>13</v>
      </c>
      <c r="G42" t="s">
        <v>23</v>
      </c>
      <c r="H42">
        <f xml:space="preserve"> SUM(E39:E41)/3</f>
        <v>3.666666666666667E-3</v>
      </c>
    </row>
    <row r="43" spans="1:10">
      <c r="A43" t="s">
        <v>18</v>
      </c>
      <c r="B43">
        <v>-2.402E-2</v>
      </c>
      <c r="C43">
        <v>6.1999999999999998E-3</v>
      </c>
      <c r="D43">
        <v>1.6659999999999999</v>
      </c>
      <c r="E43">
        <v>1.4999999999999999E-2</v>
      </c>
      <c r="G43" t="s">
        <v>21</v>
      </c>
      <c r="H43">
        <f xml:space="preserve"> SUM(B43:B45)/3</f>
        <v>-2.1966666666666666E-2</v>
      </c>
    </row>
    <row r="44" spans="1:10">
      <c r="B44">
        <v>-2.0660000000000001E-2</v>
      </c>
      <c r="C44">
        <v>4.4999999999999997E-3</v>
      </c>
      <c r="D44">
        <v>1.627</v>
      </c>
      <c r="E44">
        <v>1.0999999999999999E-2</v>
      </c>
      <c r="G44" t="s">
        <v>22</v>
      </c>
      <c r="H44">
        <f xml:space="preserve"> SUM(C43:C45)/3</f>
        <v>5.2999999999999992E-3</v>
      </c>
    </row>
    <row r="45" spans="1:10">
      <c r="B45">
        <v>-2.1219999999999999E-2</v>
      </c>
      <c r="C45">
        <v>5.1999999999999998E-3</v>
      </c>
      <c r="D45">
        <v>1.6379999999999999</v>
      </c>
      <c r="E45">
        <v>1.2999999999999999E-2</v>
      </c>
      <c r="G45" t="s">
        <v>10</v>
      </c>
      <c r="H45">
        <f xml:space="preserve"> SUM(D43:D45)/3</f>
        <v>1.6436666666666666</v>
      </c>
    </row>
    <row r="46" spans="1:10">
      <c r="A46" t="s">
        <v>19</v>
      </c>
      <c r="G46" t="s">
        <v>23</v>
      </c>
      <c r="H46">
        <f xml:space="preserve"> SUM(E43:E45)/3</f>
        <v>1.2999999999999999E-2</v>
      </c>
    </row>
    <row r="47" spans="1:10">
      <c r="B47">
        <v>-4.929E-2</v>
      </c>
      <c r="C47">
        <v>4.8999999999999998E-3</v>
      </c>
      <c r="D47">
        <v>3.2679999999999998</v>
      </c>
      <c r="E47">
        <v>1.6E-2</v>
      </c>
      <c r="G47" t="s">
        <v>21</v>
      </c>
      <c r="H47">
        <f xml:space="preserve"> SUM(B47:B49)/3</f>
        <v>-4.9383333333333335E-2</v>
      </c>
    </row>
    <row r="48" spans="1:10">
      <c r="B48">
        <v>-4.9450000000000001E-2</v>
      </c>
      <c r="C48">
        <v>1.0999999999999999E-2</v>
      </c>
      <c r="D48">
        <v>3.2759999999999998</v>
      </c>
      <c r="E48">
        <v>3.6999999999999998E-2</v>
      </c>
      <c r="G48" t="s">
        <v>22</v>
      </c>
      <c r="H48">
        <f xml:space="preserve"> SUM(C47:C49)/3</f>
        <v>7.0999999999999995E-3</v>
      </c>
    </row>
    <row r="49" spans="1:8">
      <c r="B49">
        <v>-4.9410000000000003E-2</v>
      </c>
      <c r="C49">
        <v>5.4000000000000003E-3</v>
      </c>
      <c r="D49">
        <v>3.27</v>
      </c>
      <c r="E49">
        <v>1.7999999999999999E-2</v>
      </c>
      <c r="G49" t="s">
        <v>10</v>
      </c>
      <c r="H49">
        <f xml:space="preserve"> SUM(D47:D49)/3</f>
        <v>3.2713333333333332</v>
      </c>
    </row>
    <row r="50" spans="1:8">
      <c r="G50" t="s">
        <v>23</v>
      </c>
      <c r="H50">
        <f xml:space="preserve"> SUM(E47:E49)/3</f>
        <v>2.3666666666666666E-2</v>
      </c>
    </row>
    <row r="52" spans="1:8">
      <c r="B52" t="s">
        <v>26</v>
      </c>
      <c r="C52" t="s">
        <v>28</v>
      </c>
      <c r="D52" t="s">
        <v>27</v>
      </c>
      <c r="E52" t="s">
        <v>29</v>
      </c>
    </row>
    <row r="53" spans="1:8">
      <c r="A53">
        <f xml:space="preserve"> 6.171+27.1</f>
        <v>33.271000000000001</v>
      </c>
      <c r="B53">
        <f xml:space="preserve"> 1.135233 *A53 / 106.171</f>
        <v>0.35575003666726318</v>
      </c>
      <c r="D53">
        <f xml:space="preserve"> 1.643666667 *A53 / 106.171</f>
        <v>0.51507882263289406</v>
      </c>
      <c r="G53">
        <v>5.711799E-3</v>
      </c>
    </row>
    <row r="54" spans="1:8">
      <c r="A54">
        <f>52+6.171</f>
        <v>58.170999999999999</v>
      </c>
      <c r="B54">
        <f t="shared" ref="B54:B57" si="1" xml:space="preserve"> 1.135233 *A54 / 106.171</f>
        <v>0.62199318875210741</v>
      </c>
      <c r="D54">
        <f t="shared" ref="D54:D57" si="2" xml:space="preserve"> 1.643666667 *A54 / 106.171</f>
        <v>0.90056355959779033</v>
      </c>
      <c r="G54">
        <v>9.9865059999999992E-3</v>
      </c>
    </row>
    <row r="55" spans="1:8">
      <c r="A55">
        <f>100+6.171</f>
        <v>106.17100000000001</v>
      </c>
      <c r="B55">
        <f t="shared" si="1"/>
        <v>1.1352329999999999</v>
      </c>
      <c r="D55">
        <f t="shared" si="2"/>
        <v>1.6436666670000002</v>
      </c>
      <c r="G55">
        <v>1.8226906000000001E-2</v>
      </c>
    </row>
    <row r="56" spans="1:8">
      <c r="A56">
        <v>154.62</v>
      </c>
      <c r="B56">
        <f t="shared" si="1"/>
        <v>1.6532737419822738</v>
      </c>
      <c r="D56">
        <f t="shared" si="2"/>
        <v>2.3937208847193676</v>
      </c>
      <c r="G56">
        <v>2.7304255999999999E-2</v>
      </c>
    </row>
    <row r="57" spans="1:8">
      <c r="A57">
        <f>200+6.171</f>
        <v>206.17099999999999</v>
      </c>
      <c r="B57">
        <f t="shared" si="1"/>
        <v>2.2044826067664425</v>
      </c>
      <c r="D57">
        <f t="shared" si="2"/>
        <v>3.191798140754603</v>
      </c>
      <c r="G57">
        <v>3.5394406000000003E-2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2025-10-01T08:53:34Z</dcterms:created>
  <dcterms:modified xsi:type="dcterms:W3CDTF">2025-10-22T09:11:48Z</dcterms:modified>
</cp:coreProperties>
</file>