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0" windowWidth="21980" windowHeight="1205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C4" i="1"/>
  <c r="C5" s="1"/>
  <c r="C6" s="1"/>
  <c r="C7" s="1"/>
  <c r="C8" s="1"/>
  <c r="C9" s="1"/>
  <c r="C10" s="1"/>
  <c r="C11" s="1"/>
  <c r="C3"/>
  <c r="C2"/>
  <c r="J3"/>
  <c r="J4"/>
  <c r="J5"/>
  <c r="J6"/>
  <c r="J7"/>
  <c r="J8"/>
  <c r="J9"/>
  <c r="J10"/>
  <c r="J11"/>
  <c r="J2"/>
  <c r="B3"/>
  <c r="B4"/>
  <c r="B5"/>
  <c r="B6"/>
  <c r="B7"/>
  <c r="B8"/>
  <c r="B9"/>
  <c r="B10"/>
  <c r="B11"/>
  <c r="B2"/>
</calcChain>
</file>

<file path=xl/sharedStrings.xml><?xml version="1.0" encoding="utf-8"?>
<sst xmlns="http://schemas.openxmlformats.org/spreadsheetml/2006/main" count="10" uniqueCount="6">
  <si>
    <t>m</t>
  </si>
  <si>
    <t>nu</t>
  </si>
  <si>
    <t>nd</t>
  </si>
  <si>
    <t>dn</t>
  </si>
  <si>
    <t>P</t>
  </si>
  <si>
    <t>dP, 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</si>
</sst>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F15" sqref="F15"/>
    </sheetView>
  </sheetViews>
  <sheetFormatPr defaultRowHeight="14.5"/>
  <sheetData>
    <row r="1" spans="1:10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3</v>
      </c>
    </row>
    <row r="2" spans="1:10">
      <c r="A2">
        <v>244.8</v>
      </c>
      <c r="B2">
        <f>A2*9.81/1000</f>
        <v>2.4014880000000001</v>
      </c>
      <c r="C2">
        <f>B2</f>
        <v>2.4014880000000001</v>
      </c>
      <c r="D2">
        <v>18.899999999999999</v>
      </c>
      <c r="E2">
        <v>16.8</v>
      </c>
      <c r="F2">
        <v>18.899999999999999</v>
      </c>
      <c r="G2">
        <v>16.75</v>
      </c>
      <c r="H2">
        <v>18.899999999999999</v>
      </c>
      <c r="I2">
        <v>16.8</v>
      </c>
      <c r="J2">
        <f>(D2+F2+H2-E2-G2-I2)/3</f>
        <v>2.1166666666666636</v>
      </c>
    </row>
    <row r="3" spans="1:10">
      <c r="A3">
        <v>245.8</v>
      </c>
      <c r="B3">
        <f>A3*9.81/1000</f>
        <v>2.4112980000000004</v>
      </c>
      <c r="C3">
        <f>C2+B3</f>
        <v>4.8127860000000009</v>
      </c>
      <c r="D3">
        <v>20.9</v>
      </c>
      <c r="E3">
        <v>18.91</v>
      </c>
      <c r="F3">
        <v>21</v>
      </c>
      <c r="G3">
        <v>19</v>
      </c>
      <c r="H3">
        <v>20.95</v>
      </c>
      <c r="I3">
        <v>18.899999999999999</v>
      </c>
      <c r="J3">
        <f t="shared" ref="J3:J11" si="0">(D3+F3+H3-E3-G3-I3)/3</f>
        <v>2.0133333333333332</v>
      </c>
    </row>
    <row r="4" spans="1:10">
      <c r="A4">
        <v>245.9</v>
      </c>
      <c r="B4">
        <f>A4*9.81/1000</f>
        <v>2.4122789999999998</v>
      </c>
      <c r="C4">
        <f t="shared" ref="C4:C11" si="1">C3+B4</f>
        <v>7.2250650000000007</v>
      </c>
      <c r="D4">
        <v>22.75</v>
      </c>
      <c r="E4">
        <v>20.95</v>
      </c>
      <c r="F4">
        <v>22.7</v>
      </c>
      <c r="G4">
        <v>21</v>
      </c>
      <c r="H4">
        <v>22.8</v>
      </c>
      <c r="I4">
        <v>20.95</v>
      </c>
      <c r="J4">
        <f t="shared" si="0"/>
        <v>1.7833333333333325</v>
      </c>
    </row>
    <row r="5" spans="1:10">
      <c r="A5">
        <v>245.2</v>
      </c>
      <c r="B5">
        <f>A5*9.81/1000</f>
        <v>2.4054119999999997</v>
      </c>
      <c r="C5">
        <f t="shared" si="1"/>
        <v>9.6304770000000008</v>
      </c>
      <c r="D5">
        <v>24.55</v>
      </c>
      <c r="E5">
        <v>22.7</v>
      </c>
      <c r="F5">
        <v>24.5</v>
      </c>
      <c r="G5">
        <v>22.65</v>
      </c>
      <c r="H5">
        <v>24.6</v>
      </c>
      <c r="I5">
        <v>22.7</v>
      </c>
      <c r="J5">
        <f t="shared" si="0"/>
        <v>1.8666666666666683</v>
      </c>
    </row>
    <row r="6" spans="1:10">
      <c r="A6">
        <v>245.3</v>
      </c>
      <c r="B6">
        <f>A6*9.81/1000</f>
        <v>2.406393</v>
      </c>
      <c r="C6">
        <f t="shared" si="1"/>
        <v>12.03687</v>
      </c>
      <c r="D6">
        <v>26.15</v>
      </c>
      <c r="E6">
        <v>24.5</v>
      </c>
      <c r="F6">
        <v>26.2</v>
      </c>
      <c r="G6">
        <v>24.6</v>
      </c>
      <c r="H6">
        <v>26.2</v>
      </c>
      <c r="I6">
        <v>24.6</v>
      </c>
      <c r="J6">
        <f t="shared" si="0"/>
        <v>1.6166666666666647</v>
      </c>
    </row>
    <row r="7" spans="1:10">
      <c r="A7">
        <v>245.3</v>
      </c>
      <c r="B7">
        <f>A7*9.81/1000</f>
        <v>2.406393</v>
      </c>
      <c r="C7">
        <f t="shared" si="1"/>
        <v>14.443263</v>
      </c>
      <c r="D7">
        <v>27.9</v>
      </c>
      <c r="E7">
        <v>26.3</v>
      </c>
      <c r="F7">
        <v>27.9</v>
      </c>
      <c r="G7">
        <v>26.3</v>
      </c>
      <c r="H7">
        <v>27.8</v>
      </c>
      <c r="I7">
        <v>26.25</v>
      </c>
      <c r="J7">
        <f t="shared" si="0"/>
        <v>1.5833333333333321</v>
      </c>
    </row>
    <row r="8" spans="1:10">
      <c r="A8">
        <v>245.2</v>
      </c>
      <c r="B8">
        <f>A8*9.81/1000</f>
        <v>2.4054119999999997</v>
      </c>
      <c r="C8">
        <f t="shared" si="1"/>
        <v>16.848675</v>
      </c>
      <c r="D8">
        <v>29.5</v>
      </c>
      <c r="E8">
        <v>28</v>
      </c>
      <c r="F8">
        <v>29.6</v>
      </c>
      <c r="G8">
        <v>28</v>
      </c>
      <c r="H8">
        <v>29.55</v>
      </c>
      <c r="I8">
        <v>28</v>
      </c>
      <c r="J8">
        <f t="shared" si="0"/>
        <v>1.5500000000000018</v>
      </c>
    </row>
    <row r="9" spans="1:10">
      <c r="A9">
        <v>245.5</v>
      </c>
      <c r="B9">
        <f>A9*9.81/1000</f>
        <v>2.4083549999999998</v>
      </c>
      <c r="C9">
        <f t="shared" si="1"/>
        <v>19.25703</v>
      </c>
      <c r="D9">
        <v>31.1</v>
      </c>
      <c r="E9">
        <v>29.6</v>
      </c>
      <c r="F9">
        <v>31.25</v>
      </c>
      <c r="G9">
        <v>29.65</v>
      </c>
      <c r="H9">
        <v>31.15</v>
      </c>
      <c r="I9">
        <v>29.6</v>
      </c>
      <c r="J9">
        <f t="shared" si="0"/>
        <v>1.5499999999999996</v>
      </c>
    </row>
    <row r="10" spans="1:10">
      <c r="A10">
        <v>244</v>
      </c>
      <c r="B10">
        <f>A10*9.81/1000</f>
        <v>2.3936400000000004</v>
      </c>
      <c r="C10">
        <f t="shared" si="1"/>
        <v>21.650670000000002</v>
      </c>
      <c r="D10">
        <v>32.65</v>
      </c>
      <c r="E10">
        <v>31.25</v>
      </c>
      <c r="F10">
        <v>32.700000000000003</v>
      </c>
      <c r="G10">
        <v>31.2</v>
      </c>
      <c r="H10">
        <v>32.700000000000003</v>
      </c>
      <c r="I10">
        <v>31.1</v>
      </c>
      <c r="J10">
        <f t="shared" si="0"/>
        <v>1.4999999999999976</v>
      </c>
    </row>
    <row r="11" spans="1:10">
      <c r="A11">
        <v>244.2</v>
      </c>
      <c r="B11">
        <f>A11*9.81/1000</f>
        <v>2.3956019999999998</v>
      </c>
      <c r="C11">
        <f t="shared" si="1"/>
        <v>24.046272000000002</v>
      </c>
      <c r="D11">
        <v>34.25</v>
      </c>
      <c r="E11">
        <v>32.700000000000003</v>
      </c>
      <c r="F11">
        <v>34.299999999999997</v>
      </c>
      <c r="G11">
        <v>32.700000000000003</v>
      </c>
      <c r="H11">
        <v>34.200000000000003</v>
      </c>
      <c r="I11">
        <v>32.700000000000003</v>
      </c>
      <c r="J11">
        <f t="shared" si="0"/>
        <v>1.5499999999999972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2025-11-11T23:37:20Z</dcterms:created>
  <dcterms:modified xsi:type="dcterms:W3CDTF">2025-11-12T01:08:03Z</dcterms:modified>
</cp:coreProperties>
</file>